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dedee\Downloads\"/>
    </mc:Choice>
  </mc:AlternateContent>
  <xr:revisionPtr revIDLastSave="0" documentId="8_{B0186E8E-A594-4641-9014-C8893CC05A8D}" xr6:coauthVersionLast="47" xr6:coauthVersionMax="47" xr10:uidLastSave="{00000000-0000-0000-0000-000000000000}"/>
  <bookViews>
    <workbookView xWindow="-110" yWindow="-110" windowWidth="19420" windowHeight="11500" tabRatio="500" activeTab="4" xr2:uid="{00000000-000D-0000-FFFF-FFFF00000000}"/>
  </bookViews>
  <sheets>
    <sheet name="Data" sheetId="1" r:id="rId1"/>
    <sheet name="Checks" sheetId="2" r:id="rId2"/>
    <sheet name="Analysis" sheetId="3" r:id="rId3"/>
    <sheet name="Dashboard" sheetId="4" r:id="rId4"/>
    <sheet name="Chart data" sheetId="10" r:id="rId5"/>
  </sheets>
  <definedNames>
    <definedName name="_xlchart.v1.0" hidden="1">'Chart data'!$A$2:$A$7</definedName>
    <definedName name="_xlchart.v1.1" hidden="1">'Chart data'!$B$1</definedName>
    <definedName name="_xlchart.v1.2" hidden="1">'Chart data'!$B$2:$B$7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5" i="10" l="1"/>
  <c r="E5" i="10"/>
  <c r="F4" i="10"/>
  <c r="E4" i="10"/>
  <c r="F3" i="10"/>
  <c r="E3" i="10"/>
  <c r="F2" i="10"/>
  <c r="E2" i="10"/>
  <c r="H6" i="3"/>
  <c r="B2" i="10"/>
  <c r="B3" i="10"/>
  <c r="B4" i="10"/>
  <c r="B5" i="10"/>
  <c r="B6" i="10"/>
  <c r="B7" i="10"/>
  <c r="C23" i="3"/>
  <c r="D23" i="3"/>
  <c r="B23" i="3"/>
  <c r="C27" i="3"/>
  <c r="D27" i="3"/>
  <c r="B27" i="3"/>
  <c r="C26" i="3"/>
  <c r="D26" i="3"/>
  <c r="B26" i="3"/>
  <c r="B25" i="3"/>
  <c r="C25" i="3"/>
  <c r="D25" i="3"/>
  <c r="C22" i="3"/>
  <c r="D22" i="3"/>
  <c r="B22" i="3"/>
  <c r="C24" i="3"/>
  <c r="D24" i="3"/>
  <c r="B24" i="3"/>
  <c r="J24" i="3"/>
  <c r="H24" i="3"/>
  <c r="J26" i="3"/>
  <c r="K26" i="3" s="1"/>
  <c r="J23" i="3"/>
  <c r="K23" i="3" s="1"/>
  <c r="J22" i="3"/>
  <c r="K22" i="3" s="1"/>
  <c r="J21" i="3"/>
  <c r="K21" i="3" s="1"/>
  <c r="J20" i="3"/>
  <c r="K20" i="3" s="1"/>
  <c r="J19" i="3"/>
  <c r="K19" i="3" s="1"/>
  <c r="H19" i="3"/>
  <c r="I19" i="3" s="1"/>
  <c r="H26" i="3"/>
  <c r="I26" i="3" s="1"/>
  <c r="H23" i="3"/>
  <c r="I23" i="3" s="1"/>
  <c r="H22" i="3"/>
  <c r="I22" i="3" s="1"/>
  <c r="H21" i="3"/>
  <c r="I21" i="3" s="1"/>
  <c r="H20" i="3"/>
  <c r="I20" i="3" s="1"/>
  <c r="D20" i="3"/>
  <c r="C20" i="3"/>
  <c r="D19" i="3"/>
  <c r="C19" i="3"/>
  <c r="D18" i="3"/>
  <c r="C18" i="3"/>
  <c r="C16" i="3"/>
  <c r="D16" i="3"/>
  <c r="B16" i="3"/>
  <c r="C9" i="3"/>
  <c r="D9" i="3"/>
  <c r="B9" i="3"/>
  <c r="B6" i="3"/>
  <c r="C6" i="3"/>
  <c r="D6" i="3"/>
  <c r="B7" i="3"/>
  <c r="C7" i="3"/>
  <c r="D7" i="3"/>
  <c r="I6" i="3" s="1"/>
  <c r="B8" i="3"/>
  <c r="C8" i="3"/>
  <c r="D8" i="3"/>
  <c r="B10" i="3"/>
  <c r="C10" i="3"/>
  <c r="D10" i="3"/>
  <c r="B11" i="3"/>
  <c r="C11" i="3"/>
  <c r="D11" i="3"/>
  <c r="I10" i="3" s="1"/>
  <c r="B12" i="3"/>
  <c r="C12" i="3"/>
  <c r="H11" i="3" s="1"/>
  <c r="D12" i="3"/>
  <c r="I11" i="3" s="1"/>
  <c r="B13" i="3"/>
  <c r="C13" i="3"/>
  <c r="D13" i="3"/>
  <c r="I12" i="3" s="1"/>
  <c r="B14" i="3"/>
  <c r="C14" i="3"/>
  <c r="D14" i="3"/>
  <c r="B15" i="3"/>
  <c r="C15" i="3"/>
  <c r="D15" i="3"/>
  <c r="D11" i="2"/>
  <c r="C11" i="2"/>
  <c r="E10" i="2"/>
  <c r="E11" i="2" s="1"/>
  <c r="D10" i="2"/>
  <c r="C10" i="2"/>
  <c r="E8" i="2"/>
  <c r="E9" i="2" s="1"/>
  <c r="D8" i="2"/>
  <c r="D9" i="2" s="1"/>
  <c r="C8" i="2"/>
  <c r="C9" i="2" s="1"/>
  <c r="E6" i="2"/>
  <c r="E7" i="2" s="1"/>
  <c r="D6" i="2"/>
  <c r="D7" i="2" s="1"/>
  <c r="C6" i="2"/>
  <c r="C7" i="2" s="1"/>
  <c r="E5" i="2"/>
  <c r="D5" i="2"/>
  <c r="C5" i="2"/>
  <c r="I7" i="3" l="1"/>
  <c r="I13" i="3"/>
  <c r="I9" i="3"/>
  <c r="H12" i="3"/>
  <c r="H7" i="3"/>
  <c r="H25" i="3"/>
  <c r="I25" i="3" s="1"/>
  <c r="J25" i="3"/>
  <c r="K25" i="3" s="1"/>
  <c r="H9" i="3"/>
  <c r="H8" i="3"/>
  <c r="H10" i="3"/>
  <c r="I14" i="3"/>
  <c r="H14" i="3"/>
  <c r="H13" i="3"/>
  <c r="I8" i="3"/>
</calcChain>
</file>

<file path=xl/sharedStrings.xml><?xml version="1.0" encoding="utf-8"?>
<sst xmlns="http://schemas.openxmlformats.org/spreadsheetml/2006/main" count="201" uniqueCount="132">
  <si>
    <t>Annual-report data (standalone) - figures exactly as printed</t>
  </si>
  <si>
    <t>Company:</t>
  </si>
  <si>
    <t>Britannia Industries Limited</t>
  </si>
  <si>
    <t>Unit (check the page header, e.g. Rs crore):</t>
  </si>
  <si>
    <t>Rs crore</t>
  </si>
  <si>
    <t>Yellow cells = you fill them in (blue text = typed numbers). Grey row = format example only, not real data.</t>
  </si>
  <si>
    <t>If the same year appears in two reports with different numbers, use the newer report and write the reason in column H.</t>
  </si>
  <si>
    <t>EXAMPLE (not real): Revenue from operations</t>
  </si>
  <si>
    <t>P&amp;L</t>
  </si>
  <si>
    <t>Annual Report FY2025-26</t>
  </si>
  <si>
    <t>140</t>
  </si>
  <si>
    <t>Delete nothing here; just copy the format</t>
  </si>
  <si>
    <t>Line item</t>
  </si>
  <si>
    <t>Statement</t>
  </si>
  <si>
    <t>FY2023-24</t>
  </si>
  <si>
    <t>FY2024-25</t>
  </si>
  <si>
    <t>FY2025-26</t>
  </si>
  <si>
    <t>Report (file name / year)</t>
  </si>
  <si>
    <t>Page no.</t>
  </si>
  <si>
    <t>Notes</t>
  </si>
  <si>
    <t>Revenue from operations</t>
  </si>
  <si>
    <t>AR 2023-24 / 2024-25 / 2025-26</t>
  </si>
  <si>
    <t>FY24 p.148; FY25 p.172; FY26 p.173</t>
  </si>
  <si>
    <t>Total line (Sale of goods + Other operating revenues)</t>
  </si>
  <si>
    <t>Other income</t>
  </si>
  <si>
    <t>Cost of materials consumed</t>
  </si>
  <si>
    <t>Purchases of stock-in-trade</t>
  </si>
  <si>
    <t>Changes in inventories of finished goods, WIP and stock-in-trade</t>
  </si>
  <si>
    <t>Employee benefits expense</t>
  </si>
  <si>
    <t>Finance costs</t>
  </si>
  <si>
    <t>Depreciation and amortisation expense</t>
  </si>
  <si>
    <t>Other expenses</t>
  </si>
  <si>
    <t>Total expenses</t>
  </si>
  <si>
    <t>Exceptional items (+ gain / - loss; enter 0 if none)</t>
  </si>
  <si>
    <t>Report shows Expense; entered negative. FY26 shows a dash = 0</t>
  </si>
  <si>
    <t>Profit before tax</t>
  </si>
  <si>
    <t>Tax expense (current + deferred)</t>
  </si>
  <si>
    <t>Total tax expenses (current + deferred)</t>
  </si>
  <si>
    <t>Profit for the year</t>
  </si>
  <si>
    <t>Inventories</t>
  </si>
  <si>
    <t>Balance sheet</t>
  </si>
  <si>
    <t>FY24 p.147; FY25 p.171; FY26 p.172</t>
  </si>
  <si>
    <t>Trade receivables</t>
  </si>
  <si>
    <t>Net cash from operating activities</t>
  </si>
  <si>
    <t>Cash flow</t>
  </si>
  <si>
    <t>FY24 p.150; FY25 p.174; FY26 p.175</t>
  </si>
  <si>
    <t>FY25: AR 2025-26 shows 2,365.53 (restated); AR 2024-25 showed 2,373.15. Newer used.</t>
  </si>
  <si>
    <t>Self-checks on your Data entry (do not edit)</t>
  </si>
  <si>
    <t>Rounding tolerance:</t>
  </si>
  <si>
    <t>same unit as Data (e.g. Rs crore). Keep small.</t>
  </si>
  <si>
    <t>Check</t>
  </si>
  <si>
    <t>What it tests</t>
  </si>
  <si>
    <t>1. Expense lines vs Total expenses (difference)</t>
  </si>
  <si>
    <t>Sum of 7 expense lines minus Total expenses</t>
  </si>
  <si>
    <t>1. Expense lines vs Total expenses (status)</t>
  </si>
  <si>
    <t>2. Profit before tax (difference)</t>
  </si>
  <si>
    <t>Revenue + Other income - Total expenses + Exceptional - PBT</t>
  </si>
  <si>
    <t>2. Profit before tax (status)</t>
  </si>
  <si>
    <t>3. Profit for the year (difference)</t>
  </si>
  <si>
    <t>PBT - Tax - Profit for the year</t>
  </si>
  <si>
    <t>3. Profit for the year (status)</t>
  </si>
  <si>
    <t>If check 2 fails only by roughly the exceptional-items amount, you likely entered its sign the wrong way round.</t>
  </si>
  <si>
    <t>Analysis - you write every formula here (start after all 3 checks show OK)</t>
  </si>
  <si>
    <t>Tip: reference the Data sheet cells; do not retype numbers. Write each formula in the first year, then check it by hand before copying across.</t>
  </si>
  <si>
    <t>Block / metric</t>
  </si>
  <si>
    <t>How I calculated it (write in words)</t>
  </si>
  <si>
    <t>COMMON-SIZE P&amp;L (% of revenue)</t>
  </si>
  <si>
    <t>Changes in inventories</t>
  </si>
  <si>
    <t>YEAR-ON-YEAR GROWTH</t>
  </si>
  <si>
    <t>Revenue growth %</t>
  </si>
  <si>
    <t>Profit for the year growth %</t>
  </si>
  <si>
    <t>RATIOS</t>
  </si>
  <si>
    <t>Gross margin</t>
  </si>
  <si>
    <t>Operating margin</t>
  </si>
  <si>
    <t>Net margin</t>
  </si>
  <si>
    <t>Debtor days</t>
  </si>
  <si>
    <t>Inventory days</t>
  </si>
  <si>
    <t>Operating cash flow vs profit</t>
  </si>
  <si>
    <t>Depreciation</t>
  </si>
  <si>
    <t>Finance cost</t>
  </si>
  <si>
    <t>Exceptional items</t>
  </si>
  <si>
    <t>Tax expense</t>
  </si>
  <si>
    <t>N/A</t>
  </si>
  <si>
    <t>(24-25)-(23-24)</t>
  </si>
  <si>
    <t>(25-26)-(24-25)</t>
  </si>
  <si>
    <t>Total expenses growth %</t>
  </si>
  <si>
    <t>Change in percentage points</t>
  </si>
  <si>
    <t>profit bridge</t>
  </si>
  <si>
    <t>Revenue change</t>
  </si>
  <si>
    <t>Other income change</t>
  </si>
  <si>
    <t>Total expenses change</t>
  </si>
  <si>
    <t>Exceptional items change</t>
  </si>
  <si>
    <t>Tax change</t>
  </si>
  <si>
    <t>Sum</t>
  </si>
  <si>
    <t>Actual profit change</t>
  </si>
  <si>
    <t>Difference:</t>
  </si>
  <si>
    <t>2025-26 bridge</t>
  </si>
  <si>
    <t>2024-25 BRIDGE</t>
  </si>
  <si>
    <t>% of last year’s profit</t>
  </si>
  <si>
    <t>Revenue minus expenses change</t>
  </si>
  <si>
    <t>Other income divided by Revenue from operations.</t>
  </si>
  <si>
    <t>Cost of materials divided by Revenue from operations. A bigger percentage means more of each ₹100 of sales went on materials.</t>
  </si>
  <si>
    <t>Purchases of stock-in-trade divided by Revenue from operations.</t>
  </si>
  <si>
    <t>Change in inventories (from the Profit &amp; Loss) divided by Revenue from operations.</t>
  </si>
  <si>
    <t>Depreciation divided by Revenue from operations.</t>
  </si>
  <si>
    <t>Finance cost divided by Revenue from operations.</t>
  </si>
  <si>
    <t>Exceptional items divided by Revenue from operations. Negative means an expense.</t>
  </si>
  <si>
    <t>Tax expense divided by Revenue from operations.</t>
  </si>
  <si>
    <t>Employee benefits divided by Revenue from operations.</t>
  </si>
  <si>
    <t>Other expenses divided by Revenue from operations.</t>
  </si>
  <si>
    <t>Profit for the year divided by Revenue from operations. This is the net margin.</t>
  </si>
  <si>
    <t>This year’s revenue divided by last year’s, minus 1.</t>
  </si>
  <si>
    <t>This year’s profit divided by last year’s, minus 1.</t>
  </si>
  <si>
    <t>This year’s total expenses divided by last year’s, minus 1.</t>
  </si>
  <si>
    <t>Same as profit for the year divided by revenue.</t>
  </si>
  <si>
    <t>(Revenue minus total expenses plus finance costs) divided by revenue. Excludes other income and exceptional items.</t>
  </si>
  <si>
    <t>A bigger number means more of each ₹100 of sales is left after paying for the product.</t>
  </si>
  <si>
    <t>Trade receivables divided by Revenue from operations, times 365. Uses the year-end balance. A bigger number means customers take longer to pay.</t>
  </si>
  <si>
    <t>Inventories divided by (materials + purchases + changes in inventories), times 365. Uses the year-end balance. A bigger number means stock sits longer before it is sold.</t>
  </si>
  <si>
    <t>Net cash from operating activities divided by Profit for the year. Above 100% means profit came in as cash, and below 100% means some profit did not.</t>
  </si>
  <si>
    <t>Component</t>
  </si>
  <si>
    <t>Change (₹ crore)</t>
  </si>
  <si>
    <t>Revenue increase</t>
  </si>
  <si>
    <t xml:space="preserve">Other income </t>
  </si>
  <si>
    <t>Higher expenses</t>
  </si>
  <si>
    <t>Lower tax</t>
  </si>
  <si>
    <t xml:space="preserve">Exceptional items </t>
  </si>
  <si>
    <t xml:space="preserve"> Profit change</t>
  </si>
  <si>
    <t>Line</t>
  </si>
  <si>
    <t>Materials</t>
  </si>
  <si>
    <t>Purchases</t>
  </si>
  <si>
    <t>Employee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</si>
</sst>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;\-"/>
    <numFmt numFmtId="165" formatCode="#,##0.00;\(#,##0.00\);0.00"/>
    <numFmt numFmtId="166" formatCode="0.0%"/>
  </numFmts>
  <fonts count="15">
    <font>
      <sz val="11"/>
      <color theme="1"/>
      <name val="Calibri"/>
      <family val="2"/>
      <charset val="1"/>
    </font>
    <font>
      <b/>
      <sz val="13"/>
      <name val="Arial"/>
      <charset val="1"/>
    </font>
    <font>
      <b/>
      <sz val="10"/>
      <name val="Arial"/>
      <charset val="1"/>
    </font>
    <font>
      <sz val="10"/>
      <color rgb="FF0000FF"/>
      <name val="Arial"/>
      <charset val="1"/>
    </font>
    <font>
      <i/>
      <sz val="10"/>
      <name val="Arial"/>
      <charset val="1"/>
    </font>
    <font>
      <i/>
      <sz val="10"/>
      <color rgb="FF595959"/>
      <name val="Arial"/>
      <charset val="1"/>
    </font>
    <font>
      <b/>
      <sz val="10"/>
      <color rgb="FFFFFFFF"/>
      <name val="Arial"/>
      <charset val="1"/>
    </font>
    <font>
      <b/>
      <sz val="10"/>
      <color rgb="FF0000FF"/>
      <name val="Arial"/>
      <charset val="1"/>
    </font>
    <font>
      <sz val="10"/>
      <name val="Arial"/>
      <charset val="1"/>
    </font>
    <font>
      <sz val="10"/>
      <color rgb="FF008000"/>
      <name val="Arial"/>
      <charset val="1"/>
    </font>
    <font>
      <b/>
      <sz val="10"/>
      <color rgb="FFFFFFFF"/>
      <name val="Arial"/>
      <family val="2"/>
    </font>
    <font>
      <b/>
      <sz val="11"/>
      <color theme="0"/>
      <name val="Calibri"/>
      <family val="2"/>
    </font>
    <font>
      <sz val="10"/>
      <color theme="1"/>
      <name val="Arial Unicode MS"/>
    </font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C0C0C0"/>
      </patternFill>
    </fill>
    <fill>
      <patternFill patternType="solid">
        <fgColor rgb="FF1F3864"/>
        <bgColor rgb="FF333333"/>
      </patternFill>
    </fill>
    <fill>
      <patternFill patternType="solid">
        <fgColor theme="0"/>
        <bgColor rgb="FF333333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3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3" fillId="0" borderId="0" applyFont="0" applyFill="0" applyBorder="0" applyAlignment="0" applyProtection="0"/>
  </cellStyleXfs>
  <cellXfs count="3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0" borderId="0" xfId="0" applyFont="1"/>
    <xf numFmtId="0" fontId="5" fillId="3" borderId="1" xfId="0" applyFont="1" applyFill="1" applyBorder="1"/>
    <xf numFmtId="4" fontId="5" fillId="3" borderId="1" xfId="0" applyNumberFormat="1" applyFont="1" applyFill="1" applyBorder="1"/>
    <xf numFmtId="0" fontId="6" fillId="4" borderId="1" xfId="0" applyFont="1" applyFill="1" applyBorder="1" applyAlignment="1">
      <alignment horizontal="center" wrapText="1"/>
    </xf>
    <xf numFmtId="0" fontId="7" fillId="2" borderId="1" xfId="0" applyFont="1" applyFill="1" applyBorder="1" applyAlignment="1">
      <alignment horizontal="center" wrapText="1"/>
    </xf>
    <xf numFmtId="0" fontId="8" fillId="0" borderId="1" xfId="0" applyFont="1" applyBorder="1"/>
    <xf numFmtId="164" fontId="3" fillId="2" borderId="1" xfId="0" applyNumberFormat="1" applyFont="1" applyFill="1" applyBorder="1"/>
    <xf numFmtId="0" fontId="3" fillId="2" borderId="1" xfId="0" applyFont="1" applyFill="1" applyBorder="1"/>
    <xf numFmtId="0" fontId="6" fillId="4" borderId="1" xfId="0" applyFont="1" applyFill="1" applyBorder="1"/>
    <xf numFmtId="165" fontId="9" fillId="0" borderId="1" xfId="0" applyNumberFormat="1" applyFont="1" applyBorder="1"/>
    <xf numFmtId="0" fontId="2" fillId="0" borderId="1" xfId="0" applyFont="1" applyBorder="1"/>
    <xf numFmtId="0" fontId="0" fillId="0" borderId="1" xfId="0" applyBorder="1"/>
    <xf numFmtId="10" fontId="0" fillId="0" borderId="0" xfId="0" applyNumberFormat="1"/>
    <xf numFmtId="10" fontId="0" fillId="0" borderId="1" xfId="0" applyNumberFormat="1" applyBorder="1"/>
    <xf numFmtId="0" fontId="10" fillId="5" borderId="2" xfId="0" applyFont="1" applyFill="1" applyBorder="1"/>
    <xf numFmtId="0" fontId="11" fillId="6" borderId="0" xfId="0" applyFont="1" applyFill="1"/>
    <xf numFmtId="0" fontId="12" fillId="0" borderId="0" xfId="0" applyFont="1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wrapText="1"/>
    </xf>
    <xf numFmtId="2" fontId="0" fillId="0" borderId="0" xfId="0" applyNumberFormat="1"/>
    <xf numFmtId="2" fontId="0" fillId="0" borderId="0" xfId="1" applyNumberFormat="1" applyFont="1"/>
    <xf numFmtId="0" fontId="6" fillId="4" borderId="3" xfId="0" applyFont="1" applyFill="1" applyBorder="1"/>
    <xf numFmtId="0" fontId="14" fillId="0" borderId="0" xfId="0" applyFont="1" applyAlignment="1">
      <alignment horizontal="center" vertical="center" wrapText="1"/>
    </xf>
    <xf numFmtId="0" fontId="0" fillId="7" borderId="4" xfId="0" applyFill="1" applyBorder="1" applyAlignment="1">
      <alignment vertical="center" wrapText="1"/>
    </xf>
    <xf numFmtId="166" fontId="0" fillId="0" borderId="0" xfId="0" applyNumberFormat="1" applyAlignment="1">
      <alignment vertical="center" wrapText="1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0" xfId="0" applyBorder="1" applyAlignment="1">
      <alignment horizontal="center"/>
    </xf>
  </cellXfs>
  <cellStyles count="2">
    <cellStyle name="Normal" xfId="0" builtinId="0"/>
    <cellStyle name="Percent" xfId="1" builtinId="5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6" formatCode="0.0%"/>
      <alignment horizontal="general" vertical="center" textRotation="0" wrapText="1" indent="0" justifyLastLine="0" shrinkToFit="0" readingOrder="0"/>
    </dxf>
    <dxf>
      <numFmt numFmtId="166" formatCode="0.0%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999999"/>
        </left>
        <right style="thin">
          <color rgb="FF999999"/>
        </right>
        <top style="thin">
          <color rgb="FF999999"/>
        </top>
        <bottom style="thin">
          <color rgb="FF999999"/>
        </bottom>
        <vertical/>
        <horizontal/>
      </border>
    </dxf>
    <dxf>
      <border outline="0">
        <top style="thin">
          <color rgb="FF999999"/>
        </top>
      </border>
    </dxf>
    <dxf>
      <border outline="0">
        <bottom style="thin">
          <color rgb="FF99999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charset val="1"/>
        <scheme val="none"/>
      </font>
      <fill>
        <patternFill patternType="solid">
          <fgColor rgb="FF333333"/>
          <bgColor rgb="FF1F3864"/>
        </patternFill>
      </fill>
      <border diagonalUp="0" diagonalDown="0" outline="0">
        <left style="thin">
          <color rgb="FF999999"/>
        </left>
        <right style="thin">
          <color rgb="FF999999"/>
        </right>
        <top/>
        <bottom/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99999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Change in share of revenue, by cost line (points)</a:t>
            </a:r>
          </a:p>
        </c:rich>
      </c:tx>
      <c:layout>
        <c:manualLayout>
          <c:xMode val="edge"/>
          <c:yMode val="edge"/>
          <c:x val="0.10722603620735749"/>
          <c:y val="1.80586907449209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data'!$E$1</c:f>
              <c:strCache>
                <c:ptCount val="1"/>
                <c:pt idx="0">
                  <c:v>FY2024-25</c:v>
                </c:pt>
              </c:strCache>
            </c:strRef>
          </c:tx>
          <c:spPr>
            <a:gradFill>
              <a:gsLst>
                <a:gs pos="0">
                  <a:schemeClr val="accent1">
                    <a:shade val="51000"/>
                  </a:schemeClr>
                </a:gs>
                <a:gs pos="80000">
                  <a:schemeClr val="accent1">
                    <a:shade val="93000"/>
                  </a:schemeClr>
                </a:gs>
                <a:gs pos="100000">
                  <a:schemeClr val="accent1">
                    <a:shade val="94000"/>
                  </a:schemeClr>
                </a:gs>
              </a:gsLst>
              <a:lin ang="16200000" scaled="0"/>
              <a:tileRect/>
            </a:gra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4.5248868778280339E-3"/>
                  <c:y val="1.146592877206765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078-42E6-BCBC-443F343FC88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'Chart data'!$D$2:$D$5</c:f>
              <c:strCache>
                <c:ptCount val="4"/>
                <c:pt idx="0">
                  <c:v>Materials</c:v>
                </c:pt>
                <c:pt idx="1">
                  <c:v>Purchases</c:v>
                </c:pt>
                <c:pt idx="2">
                  <c:v>Employee benefits</c:v>
                </c:pt>
                <c:pt idx="3">
                  <c:v>Other expenses</c:v>
                </c:pt>
              </c:strCache>
            </c:strRef>
          </c:cat>
          <c:val>
            <c:numRef>
              <c:f>'Chart data'!$E$2:$E$5</c:f>
              <c:numCache>
                <c:formatCode>0.0%</c:formatCode>
                <c:ptCount val="4"/>
                <c:pt idx="0">
                  <c:v>4.0868639924853511E-2</c:v>
                </c:pt>
                <c:pt idx="1">
                  <c:v>-1.0385254577309752E-2</c:v>
                </c:pt>
                <c:pt idx="2">
                  <c:v>-2.8526883746521001E-3</c:v>
                </c:pt>
                <c:pt idx="3">
                  <c:v>-1.1112389876147266E-2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78-42E6-BCBC-443F343FC88F}"/>
            </c:ext>
          </c:extLst>
        </c:ser>
        <c:ser>
          <c:idx val="1"/>
          <c:order val="1"/>
          <c:tx>
            <c:strRef>
              <c:f>'Chart data'!$F$1</c:f>
              <c:strCache>
                <c:ptCount val="1"/>
                <c:pt idx="0">
                  <c:v>FY2025-26</c:v>
                </c:pt>
              </c:strCache>
            </c:strRef>
          </c:tx>
          <c:spPr>
            <a:gradFill>
              <a:gsLst>
                <a:gs pos="0">
                  <a:schemeClr val="accent2">
                    <a:shade val="51000"/>
                  </a:schemeClr>
                </a:gs>
                <a:gs pos="80000">
                  <a:schemeClr val="accent2">
                    <a:shade val="93000"/>
                  </a:schemeClr>
                </a:gs>
                <a:gs pos="100000">
                  <a:schemeClr val="accent2">
                    <a:shade val="94000"/>
                  </a:schemeClr>
                </a:gs>
              </a:gsLst>
              <a:lin ang="162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'Chart data'!$D$2:$D$5</c:f>
              <c:strCache>
                <c:ptCount val="4"/>
                <c:pt idx="0">
                  <c:v>Materials</c:v>
                </c:pt>
                <c:pt idx="1">
                  <c:v>Purchases</c:v>
                </c:pt>
                <c:pt idx="2">
                  <c:v>Employee benefits</c:v>
                </c:pt>
                <c:pt idx="3">
                  <c:v>Other expenses</c:v>
                </c:pt>
              </c:strCache>
            </c:strRef>
          </c:cat>
          <c:val>
            <c:numRef>
              <c:f>'Chart data'!$F$2:$F$5</c:f>
              <c:numCache>
                <c:formatCode>0.0%</c:formatCode>
                <c:ptCount val="4"/>
                <c:pt idx="0">
                  <c:v>-7.3347703459287206E-3</c:v>
                </c:pt>
                <c:pt idx="1">
                  <c:v>-5.2945884362087109E-3</c:v>
                </c:pt>
                <c:pt idx="2">
                  <c:v>4.1142864663843426E-3</c:v>
                </c:pt>
                <c:pt idx="3">
                  <c:v>-9.5942559036438224E-4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78-42E6-BCBC-443F343FC88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2077611631"/>
        <c:axId val="1311200495"/>
      </c:barChart>
      <c:catAx>
        <c:axId val="2077611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200495"/>
        <c:crosses val="autoZero"/>
        <c:auto val="1"/>
        <c:lblAlgn val="ctr"/>
        <c:lblOffset val="100"/>
        <c:noMultiLvlLbl val="0"/>
      </c:catAx>
      <c:valAx>
        <c:axId val="1311200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7611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IN"/>
              <a:t>What moved profit in FY2025-26 </a:t>
            </a:r>
            <a:r>
              <a:rPr lang="en-IN" sz="1400"/>
              <a:t>(₹ crore)</a:t>
            </a:r>
            <a:endParaRPr lang="en-US" sz="1400" b="1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Calibri"/>
            </a:endParaRPr>
          </a:p>
        </cx:rich>
      </cx:tx>
    </cx:title>
    <cx:plotArea>
      <cx:plotAreaRegion>
        <cx:series layoutId="waterfall" uniqueId="{00000000-C1AB-48E4-A63A-27908B09A296}">
          <cx:tx>
            <cx:txData>
              <cx:f>_xlchart.v1.1</cx:f>
              <cx:v>Change (₹ crore)</cx:v>
            </cx:txData>
          </cx:tx>
          <cx:dataLabels>
            <cx:numFmt formatCode="#,##0" sourceLinked="0"/>
            <cx:visibility seriesName="0" categoryName="0" value="1"/>
            <cx:separator>, </cx:separator>
          </cx:dataLabels>
          <cx:dataId val="0"/>
          <cx:layoutPr>
            <cx:visibility connectorLines="0"/>
            <cx:subtotals>
              <cx:idx val="5"/>
            </cx:subtotals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  <cx:spPr>
    <a:noFill/>
    <a:ln>
      <a:solidFill>
        <a:sysClr val="windowText" lastClr="000000"/>
      </a:solidFill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99">
  <cs:axisTitle>
    <cs:lnRef idx="0"/>
    <cs:fillRef idx="0"/>
    <cs:effectRef idx="0"/>
    <cs:fontRef idx="minor">
      <a:schemeClr val="tx2"/>
    </cs:fontRef>
    <cs:defRPr sz="9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2"/>
    </cs:fontRef>
    <cs:defRPr sz="9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2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tx2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2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2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2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2"/>
    </cs:fontRef>
    <cs:defRPr sz="9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2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2"/>
    </cs:fontRef>
    <cs:defRPr sz="1600" b="1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247650</xdr:colOff>
      <xdr:row>6</xdr:row>
      <xdr:rowOff>146050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D50F9D2-CD31-7947-6521-6FBB502E3267}"/>
            </a:ext>
          </a:extLst>
        </xdr:cNvPr>
        <xdr:cNvSpPr txBox="1"/>
      </xdr:nvSpPr>
      <xdr:spPr>
        <a:xfrm>
          <a:off x="2044700" y="90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twoCellAnchor>
    <xdr:from>
      <xdr:col>3</xdr:col>
      <xdr:colOff>0</xdr:colOff>
      <xdr:row>2</xdr:row>
      <xdr:rowOff>42333</xdr:rowOff>
    </xdr:from>
    <xdr:to>
      <xdr:col>12</xdr:col>
      <xdr:colOff>120650</xdr:colOff>
      <xdr:row>7</xdr:row>
      <xdr:rowOff>126999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86EF475D-B621-D016-C727-ADAC5CA10AE4}"/>
            </a:ext>
          </a:extLst>
        </xdr:cNvPr>
        <xdr:cNvSpPr/>
      </xdr:nvSpPr>
      <xdr:spPr>
        <a:xfrm>
          <a:off x="1213556" y="225777"/>
          <a:ext cx="5581650" cy="1030111"/>
        </a:xfrm>
        <a:prstGeom prst="roundRect">
          <a:avLst/>
        </a:prstGeom>
        <a:ln>
          <a:solidFill>
            <a:schemeClr val="tx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800" b="1">
              <a:latin typeface="Apple Chancery" panose="03020702040506060504" pitchFamily="66" charset="0"/>
            </a:rPr>
            <a:t>Did Britannia’s Profit Grow Faster Than Its Revenue?</a:t>
          </a:r>
          <a:r>
            <a:rPr lang="en-IN" sz="1600" b="1">
              <a:latin typeface="Apple Chancery" panose="03020702040506060504" pitchFamily="66" charset="0"/>
            </a:rPr>
            <a:t> </a:t>
          </a:r>
          <a:r>
            <a:rPr lang="en-IN" sz="1600" b="1"/>
            <a:t>                                                  </a:t>
          </a:r>
          <a:r>
            <a:rPr lang="en-IN" sz="1600" b="1" baseline="0"/>
            <a:t>                                                         </a:t>
          </a:r>
          <a:r>
            <a:rPr lang="en-IN" sz="1600" b="0" baseline="0"/>
            <a:t>       </a:t>
          </a:r>
          <a:r>
            <a:rPr lang="en-IN" sz="1800"/>
            <a:t>Standalone | FY2023-24 to FY2025-26 | ₹ crore.</a:t>
          </a:r>
          <a:endParaRPr lang="en-IN" sz="1800">
            <a:latin typeface="Algerian" panose="04020705040A02060702" pitchFamily="82" charset="0"/>
          </a:endParaRPr>
        </a:p>
      </xdr:txBody>
    </xdr:sp>
    <xdr:clientData/>
  </xdr:twoCellAnchor>
  <xdr:twoCellAnchor>
    <xdr:from>
      <xdr:col>12</xdr:col>
      <xdr:colOff>127000</xdr:colOff>
      <xdr:row>2</xdr:row>
      <xdr:rowOff>31751</xdr:rowOff>
    </xdr:from>
    <xdr:to>
      <xdr:col>14</xdr:col>
      <xdr:colOff>381000</xdr:colOff>
      <xdr:row>7</xdr:row>
      <xdr:rowOff>120651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F8EA0BE3-A77E-CC2D-ADAF-DA8BC1DBA123}"/>
            </a:ext>
          </a:extLst>
        </xdr:cNvPr>
        <xdr:cNvSpPr txBox="1"/>
      </xdr:nvSpPr>
      <xdr:spPr>
        <a:xfrm>
          <a:off x="6762750" y="214314"/>
          <a:ext cx="1460500" cy="1033462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/>
            <a:t>Revenue growth,                   </a:t>
          </a:r>
          <a:r>
            <a:rPr lang="en-IN" baseline="0"/>
            <a:t>  </a:t>
          </a:r>
          <a:r>
            <a:rPr lang="en-IN"/>
            <a:t>FY2025-26 </a:t>
          </a:r>
          <a:endParaRPr lang="en-IN" sz="1100"/>
        </a:p>
      </xdr:txBody>
    </xdr:sp>
    <xdr:clientData/>
  </xdr:twoCellAnchor>
  <xdr:oneCellAnchor>
    <xdr:from>
      <xdr:col>12</xdr:col>
      <xdr:colOff>536575</xdr:colOff>
      <xdr:row>4</xdr:row>
      <xdr:rowOff>88900</xdr:rowOff>
    </xdr:from>
    <xdr:ext cx="631327" cy="311496"/>
    <xdr:sp macro="" textlink="Analysis!D18">
      <xdr:nvSpPr>
        <xdr:cNvPr id="12" name="TextBox 11">
          <a:extLst>
            <a:ext uri="{FF2B5EF4-FFF2-40B4-BE49-F238E27FC236}">
              <a16:creationId xmlns:a16="http://schemas.microsoft.com/office/drawing/2014/main" id="{863E5831-6A7C-4ED4-820C-3A5D71C2BA23}"/>
            </a:ext>
          </a:extLst>
        </xdr:cNvPr>
        <xdr:cNvSpPr txBox="1"/>
      </xdr:nvSpPr>
      <xdr:spPr>
        <a:xfrm>
          <a:off x="7172325" y="652463"/>
          <a:ext cx="63132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8BEA7407-9C46-449E-B1A5-3D9822A9FDFF}" type="TxLink">
            <a:rPr lang="en-US" sz="14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6.65%</a:t>
          </a:fld>
          <a:endParaRPr lang="en-IN" sz="1400" b="1"/>
        </a:p>
      </xdr:txBody>
    </xdr:sp>
    <xdr:clientData/>
  </xdr:oneCellAnchor>
  <xdr:oneCellAnchor>
    <xdr:from>
      <xdr:col>12</xdr:col>
      <xdr:colOff>165100</xdr:colOff>
      <xdr:row>6</xdr:row>
      <xdr:rowOff>95250</xdr:rowOff>
    </xdr:from>
    <xdr:ext cx="806449" cy="22860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FA8F117B-6F31-DFE3-9894-B247179B83FC}"/>
            </a:ext>
          </a:extLst>
        </xdr:cNvPr>
        <xdr:cNvSpPr txBox="1"/>
      </xdr:nvSpPr>
      <xdr:spPr>
        <a:xfrm>
          <a:off x="5581650" y="850900"/>
          <a:ext cx="806449" cy="2286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IN"/>
            <a:t>FY2024-25:</a:t>
          </a:r>
          <a:endParaRPr lang="en-IN" sz="1100"/>
        </a:p>
      </xdr:txBody>
    </xdr:sp>
    <xdr:clientData/>
  </xdr:oneCellAnchor>
  <xdr:oneCellAnchor>
    <xdr:from>
      <xdr:col>13</xdr:col>
      <xdr:colOff>227189</xdr:colOff>
      <xdr:row>6</xdr:row>
      <xdr:rowOff>95250</xdr:rowOff>
    </xdr:from>
    <xdr:ext cx="535596" cy="264560"/>
    <xdr:sp macro="" textlink="Analysis!C18">
      <xdr:nvSpPr>
        <xdr:cNvPr id="14" name="TextBox 13">
          <a:extLst>
            <a:ext uri="{FF2B5EF4-FFF2-40B4-BE49-F238E27FC236}">
              <a16:creationId xmlns:a16="http://schemas.microsoft.com/office/drawing/2014/main" id="{240EB792-A2FA-1F9E-BA83-2C6C588166D1}"/>
            </a:ext>
          </a:extLst>
        </xdr:cNvPr>
        <xdr:cNvSpPr txBox="1"/>
      </xdr:nvSpPr>
      <xdr:spPr>
        <a:xfrm>
          <a:off x="7508522" y="1033639"/>
          <a:ext cx="53559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D30C349A-AEA5-4F32-9453-9C11EC652547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6.86%</a:t>
          </a:fld>
          <a:endParaRPr lang="en-IN" sz="1100"/>
        </a:p>
      </xdr:txBody>
    </xdr:sp>
    <xdr:clientData/>
  </xdr:oneCellAnchor>
  <xdr:twoCellAnchor>
    <xdr:from>
      <xdr:col>14</xdr:col>
      <xdr:colOff>393700</xdr:colOff>
      <xdr:row>2</xdr:row>
      <xdr:rowOff>39687</xdr:rowOff>
    </xdr:from>
    <xdr:to>
      <xdr:col>17</xdr:col>
      <xdr:colOff>12700</xdr:colOff>
      <xdr:row>7</xdr:row>
      <xdr:rowOff>127000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A695D797-EC2C-471A-8918-F896A606A1D3}"/>
            </a:ext>
          </a:extLst>
        </xdr:cNvPr>
        <xdr:cNvSpPr txBox="1"/>
      </xdr:nvSpPr>
      <xdr:spPr>
        <a:xfrm>
          <a:off x="8235950" y="222250"/>
          <a:ext cx="1428750" cy="1031875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/>
            <a:t>Expense growth,                   </a:t>
          </a:r>
          <a:r>
            <a:rPr lang="en-IN" baseline="0"/>
            <a:t>  </a:t>
          </a:r>
          <a:r>
            <a:rPr lang="en-IN"/>
            <a:t>FY2025-26 </a:t>
          </a:r>
          <a:endParaRPr lang="en-IN" sz="1100"/>
        </a:p>
      </xdr:txBody>
    </xdr:sp>
    <xdr:clientData/>
  </xdr:twoCellAnchor>
  <xdr:oneCellAnchor>
    <xdr:from>
      <xdr:col>15</xdr:col>
      <xdr:colOff>182562</xdr:colOff>
      <xdr:row>4</xdr:row>
      <xdr:rowOff>88900</xdr:rowOff>
    </xdr:from>
    <xdr:ext cx="631327" cy="311496"/>
    <xdr:sp macro="" textlink="Analysis!D20">
      <xdr:nvSpPr>
        <xdr:cNvPr id="16" name="TextBox 15">
          <a:extLst>
            <a:ext uri="{FF2B5EF4-FFF2-40B4-BE49-F238E27FC236}">
              <a16:creationId xmlns:a16="http://schemas.microsoft.com/office/drawing/2014/main" id="{8F3F47E9-D7EB-39EE-19A6-53629B59027D}"/>
            </a:ext>
          </a:extLst>
        </xdr:cNvPr>
        <xdr:cNvSpPr txBox="1"/>
      </xdr:nvSpPr>
      <xdr:spPr>
        <a:xfrm>
          <a:off x="8628062" y="652463"/>
          <a:ext cx="63132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AE32F2B0-E38F-42B7-9230-12DCB6F7170E}" type="TxLink">
            <a:rPr lang="en-US" sz="14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5.57%</a:t>
          </a:fld>
          <a:endParaRPr lang="en-IN" sz="1400" b="1"/>
        </a:p>
      </xdr:txBody>
    </xdr:sp>
    <xdr:clientData/>
  </xdr:oneCellAnchor>
  <xdr:oneCellAnchor>
    <xdr:from>
      <xdr:col>14</xdr:col>
      <xdr:colOff>400050</xdr:colOff>
      <xdr:row>6</xdr:row>
      <xdr:rowOff>107950</xdr:rowOff>
    </xdr:from>
    <xdr:ext cx="806449" cy="22860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15687D6C-F114-4588-BA71-F6ECBEF38FFB}"/>
            </a:ext>
          </a:extLst>
        </xdr:cNvPr>
        <xdr:cNvSpPr txBox="1"/>
      </xdr:nvSpPr>
      <xdr:spPr>
        <a:xfrm>
          <a:off x="7023100" y="863600"/>
          <a:ext cx="806449" cy="2286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IN"/>
            <a:t>FY2024-25: </a:t>
          </a:r>
          <a:endParaRPr lang="en-IN" sz="1100"/>
        </a:p>
      </xdr:txBody>
    </xdr:sp>
    <xdr:clientData/>
  </xdr:oneCellAnchor>
  <xdr:oneCellAnchor>
    <xdr:from>
      <xdr:col>15</xdr:col>
      <xdr:colOff>454380</xdr:colOff>
      <xdr:row>6</xdr:row>
      <xdr:rowOff>108655</xdr:rowOff>
    </xdr:from>
    <xdr:ext cx="533400" cy="254000"/>
    <xdr:sp macro="" textlink="Analysis!C20">
      <xdr:nvSpPr>
        <xdr:cNvPr id="20" name="TextBox 19">
          <a:extLst>
            <a:ext uri="{FF2B5EF4-FFF2-40B4-BE49-F238E27FC236}">
              <a16:creationId xmlns:a16="http://schemas.microsoft.com/office/drawing/2014/main" id="{BFC4E009-348C-47F6-97AE-50474BD897D2}"/>
            </a:ext>
          </a:extLst>
        </xdr:cNvPr>
        <xdr:cNvSpPr txBox="1"/>
      </xdr:nvSpPr>
      <xdr:spPr>
        <a:xfrm>
          <a:off x="8949269" y="1047044"/>
          <a:ext cx="533400" cy="2540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fld id="{F4966F09-CA71-4B72-B992-B66AE7927570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8.24%</a:t>
          </a:fld>
          <a:endParaRPr lang="en-IN" sz="1100"/>
        </a:p>
      </xdr:txBody>
    </xdr:sp>
    <xdr:clientData/>
  </xdr:oneCellAnchor>
  <xdr:twoCellAnchor>
    <xdr:from>
      <xdr:col>17</xdr:col>
      <xdr:colOff>19050</xdr:colOff>
      <xdr:row>2</xdr:row>
      <xdr:rowOff>47625</xdr:rowOff>
    </xdr:from>
    <xdr:to>
      <xdr:col>19</xdr:col>
      <xdr:colOff>241300</xdr:colOff>
      <xdr:row>7</xdr:row>
      <xdr:rowOff>120650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7EBE13DC-A128-438B-9319-60CAE05CACA1}"/>
            </a:ext>
          </a:extLst>
        </xdr:cNvPr>
        <xdr:cNvSpPr txBox="1"/>
      </xdr:nvSpPr>
      <xdr:spPr>
        <a:xfrm>
          <a:off x="9671050" y="230188"/>
          <a:ext cx="1428750" cy="1017587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/>
            <a:t>Profit growth,                   </a:t>
          </a:r>
          <a:r>
            <a:rPr lang="en-IN" baseline="0"/>
            <a:t>  </a:t>
          </a:r>
          <a:r>
            <a:rPr lang="en-IN"/>
            <a:t>FY2025-26 </a:t>
          </a:r>
          <a:endParaRPr lang="en-IN" sz="1100"/>
        </a:p>
      </xdr:txBody>
    </xdr:sp>
    <xdr:clientData/>
  </xdr:twoCellAnchor>
  <xdr:oneCellAnchor>
    <xdr:from>
      <xdr:col>17</xdr:col>
      <xdr:colOff>381000</xdr:colOff>
      <xdr:row>4</xdr:row>
      <xdr:rowOff>82550</xdr:rowOff>
    </xdr:from>
    <xdr:ext cx="631327" cy="241300"/>
    <xdr:sp macro="" textlink="Analysis!D19">
      <xdr:nvSpPr>
        <xdr:cNvPr id="24" name="TextBox 23">
          <a:extLst>
            <a:ext uri="{FF2B5EF4-FFF2-40B4-BE49-F238E27FC236}">
              <a16:creationId xmlns:a16="http://schemas.microsoft.com/office/drawing/2014/main" id="{1218AFC3-2F1D-4447-846D-6972CCFF2A2E}"/>
            </a:ext>
          </a:extLst>
        </xdr:cNvPr>
        <xdr:cNvSpPr txBox="1"/>
      </xdr:nvSpPr>
      <xdr:spPr>
        <a:xfrm>
          <a:off x="10033000" y="646113"/>
          <a:ext cx="631327" cy="2413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fld id="{A0E8C89C-223A-4282-B2FE-C5EF49165FA6}" type="TxLink">
            <a:rPr lang="en-US" sz="14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20.23%</a:t>
          </a:fld>
          <a:endParaRPr lang="en-IN" sz="1400" b="1"/>
        </a:p>
      </xdr:txBody>
    </xdr:sp>
    <xdr:clientData/>
  </xdr:oneCellAnchor>
  <xdr:oneCellAnchor>
    <xdr:from>
      <xdr:col>16</xdr:col>
      <xdr:colOff>571500</xdr:colOff>
      <xdr:row>6</xdr:row>
      <xdr:rowOff>88900</xdr:rowOff>
    </xdr:from>
    <xdr:ext cx="806449" cy="22860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E2E6349-99F7-403D-A2C4-4E2B6E497794}"/>
            </a:ext>
          </a:extLst>
        </xdr:cNvPr>
        <xdr:cNvSpPr txBox="1"/>
      </xdr:nvSpPr>
      <xdr:spPr>
        <a:xfrm>
          <a:off x="8401050" y="844550"/>
          <a:ext cx="806449" cy="2286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IN"/>
            <a:t>FY2024-25: </a:t>
          </a:r>
          <a:endParaRPr lang="en-IN" sz="1100"/>
        </a:p>
      </xdr:txBody>
    </xdr:sp>
    <xdr:clientData/>
  </xdr:oneCellAnchor>
  <xdr:oneCellAnchor>
    <xdr:from>
      <xdr:col>18</xdr:col>
      <xdr:colOff>23285</xdr:colOff>
      <xdr:row>6</xdr:row>
      <xdr:rowOff>88900</xdr:rowOff>
    </xdr:from>
    <xdr:ext cx="533400" cy="254000"/>
    <xdr:sp macro="" textlink="Analysis!C19">
      <xdr:nvSpPr>
        <xdr:cNvPr id="27" name="TextBox 26">
          <a:extLst>
            <a:ext uri="{FF2B5EF4-FFF2-40B4-BE49-F238E27FC236}">
              <a16:creationId xmlns:a16="http://schemas.microsoft.com/office/drawing/2014/main" id="{EBE07692-D744-46F2-A5A9-CA87DEC4F4EF}"/>
            </a:ext>
          </a:extLst>
        </xdr:cNvPr>
        <xdr:cNvSpPr txBox="1"/>
      </xdr:nvSpPr>
      <xdr:spPr>
        <a:xfrm>
          <a:off x="10338507" y="1027289"/>
          <a:ext cx="533400" cy="2540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fld id="{8D56BE6E-9E86-4358-9049-38CE4F1D58A9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2.34%</a:t>
          </a:fld>
          <a:endParaRPr lang="en-IN" sz="1100"/>
        </a:p>
      </xdr:txBody>
    </xdr:sp>
    <xdr:clientData/>
  </xdr:oneCellAnchor>
  <xdr:twoCellAnchor>
    <xdr:from>
      <xdr:col>19</xdr:col>
      <xdr:colOff>247650</xdr:colOff>
      <xdr:row>2</xdr:row>
      <xdr:rowOff>47625</xdr:rowOff>
    </xdr:from>
    <xdr:to>
      <xdr:col>21</xdr:col>
      <xdr:colOff>476250</xdr:colOff>
      <xdr:row>7</xdr:row>
      <xdr:rowOff>114300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C25A5E76-72EF-46F5-B75E-A1D3660C4488}"/>
            </a:ext>
          </a:extLst>
        </xdr:cNvPr>
        <xdr:cNvSpPr txBox="1"/>
      </xdr:nvSpPr>
      <xdr:spPr>
        <a:xfrm>
          <a:off x="11106150" y="230188"/>
          <a:ext cx="1435100" cy="1011237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Net margin</a:t>
          </a:r>
          <a:r>
            <a:rPr lang="en-IN"/>
            <a:t>,                   </a:t>
          </a:r>
          <a:r>
            <a:rPr lang="en-IN" baseline="0"/>
            <a:t>  </a:t>
          </a:r>
          <a:r>
            <a:rPr lang="en-IN"/>
            <a:t>FY2025-26 </a:t>
          </a:r>
          <a:endParaRPr lang="en-IN" sz="1100"/>
        </a:p>
      </xdr:txBody>
    </xdr:sp>
    <xdr:clientData/>
  </xdr:twoCellAnchor>
  <xdr:oneCellAnchor>
    <xdr:from>
      <xdr:col>19</xdr:col>
      <xdr:colOff>209550</xdr:colOff>
      <xdr:row>6</xdr:row>
      <xdr:rowOff>82550</xdr:rowOff>
    </xdr:from>
    <xdr:ext cx="806449" cy="22860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EC4FADA5-7F8D-4DAB-81A1-D5E85083F746}"/>
            </a:ext>
          </a:extLst>
        </xdr:cNvPr>
        <xdr:cNvSpPr txBox="1"/>
      </xdr:nvSpPr>
      <xdr:spPr>
        <a:xfrm>
          <a:off x="9848850" y="838200"/>
          <a:ext cx="806449" cy="2286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IN"/>
            <a:t>FY2024-25: </a:t>
          </a:r>
          <a:endParaRPr lang="en-IN" sz="1100"/>
        </a:p>
      </xdr:txBody>
    </xdr:sp>
    <xdr:clientData/>
  </xdr:oneCellAnchor>
  <xdr:oneCellAnchor>
    <xdr:from>
      <xdr:col>20</xdr:col>
      <xdr:colOff>41275</xdr:colOff>
      <xdr:row>4</xdr:row>
      <xdr:rowOff>79375</xdr:rowOff>
    </xdr:from>
    <xdr:ext cx="631327" cy="241300"/>
    <xdr:sp macro="" textlink="Analysis!D24">
      <xdr:nvSpPr>
        <xdr:cNvPr id="30" name="TextBox 29">
          <a:extLst>
            <a:ext uri="{FF2B5EF4-FFF2-40B4-BE49-F238E27FC236}">
              <a16:creationId xmlns:a16="http://schemas.microsoft.com/office/drawing/2014/main" id="{C477CAB5-C87B-4E78-B356-895B947B70B9}"/>
            </a:ext>
          </a:extLst>
        </xdr:cNvPr>
        <xdr:cNvSpPr txBox="1"/>
      </xdr:nvSpPr>
      <xdr:spPr>
        <a:xfrm>
          <a:off x="11503025" y="642938"/>
          <a:ext cx="631327" cy="2413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fld id="{35808AB4-1337-4974-B4A7-CCF2FF549A3C}" type="TxLink">
            <a:rPr lang="en-US" sz="14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13.89%</a:t>
          </a:fld>
          <a:endParaRPr lang="en-IN" sz="1400" b="1"/>
        </a:p>
      </xdr:txBody>
    </xdr:sp>
    <xdr:clientData/>
  </xdr:oneCellAnchor>
  <xdr:oneCellAnchor>
    <xdr:from>
      <xdr:col>20</xdr:col>
      <xdr:colOff>279400</xdr:colOff>
      <xdr:row>6</xdr:row>
      <xdr:rowOff>76200</xdr:rowOff>
    </xdr:from>
    <xdr:ext cx="533400" cy="254000"/>
    <xdr:sp macro="" textlink="Analysis!C24">
      <xdr:nvSpPr>
        <xdr:cNvPr id="31" name="TextBox 30">
          <a:extLst>
            <a:ext uri="{FF2B5EF4-FFF2-40B4-BE49-F238E27FC236}">
              <a16:creationId xmlns:a16="http://schemas.microsoft.com/office/drawing/2014/main" id="{5AC77975-625F-4873-A410-118FDCA7192B}"/>
            </a:ext>
          </a:extLst>
        </xdr:cNvPr>
        <xdr:cNvSpPr txBox="1"/>
      </xdr:nvSpPr>
      <xdr:spPr>
        <a:xfrm>
          <a:off x="10521950" y="831850"/>
          <a:ext cx="533400" cy="2540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fld id="{D559E9ED-033C-4E3A-B25D-2B4E2500A2AD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12.32%</a:t>
          </a:fld>
          <a:endParaRPr lang="en-IN" sz="1100"/>
        </a:p>
      </xdr:txBody>
    </xdr:sp>
    <xdr:clientData/>
  </xdr:oneCellAnchor>
  <xdr:twoCellAnchor>
    <xdr:from>
      <xdr:col>3</xdr:col>
      <xdr:colOff>19051</xdr:colOff>
      <xdr:row>7</xdr:row>
      <xdr:rowOff>166687</xdr:rowOff>
    </xdr:from>
    <xdr:to>
      <xdr:col>12</xdr:col>
      <xdr:colOff>508000</xdr:colOff>
      <xdr:row>17</xdr:row>
      <xdr:rowOff>56443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736FD0C3-37AE-4A2D-A8FB-F845E97B48C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32607" y="1295576"/>
              <a:ext cx="5949949" cy="178064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12</xdr:col>
      <xdr:colOff>523875</xdr:colOff>
      <xdr:row>7</xdr:row>
      <xdr:rowOff>166688</xdr:rowOff>
    </xdr:from>
    <xdr:to>
      <xdr:col>21</xdr:col>
      <xdr:colOff>500063</xdr:colOff>
      <xdr:row>17</xdr:row>
      <xdr:rowOff>56444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C807062-8DEB-47A4-ACE9-FB18A09185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3</xdr:col>
      <xdr:colOff>7939</xdr:colOff>
      <xdr:row>25</xdr:row>
      <xdr:rowOff>31750</xdr:rowOff>
    </xdr:from>
    <xdr:ext cx="11326811" cy="50800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E6D7033A-67BF-9B26-4A15-D75CADDC92A1}"/>
            </a:ext>
          </a:extLst>
        </xdr:cNvPr>
        <xdr:cNvSpPr txBox="1"/>
      </xdr:nvSpPr>
      <xdr:spPr>
        <a:xfrm>
          <a:off x="1214439" y="4508500"/>
          <a:ext cx="11326811" cy="50800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200" b="1"/>
            <a:t>Source</a:t>
          </a:r>
          <a:r>
            <a:rPr lang="en-IN" sz="1200"/>
            <a:t>: Britannia Industries annual reports FY2023-24 to FY2025-26, standalone statements, with page references in the Data sheet. Independent analysis of public data. Not investment advice.</a:t>
          </a:r>
        </a:p>
      </xdr:txBody>
    </xdr:sp>
    <xdr:clientData/>
  </xdr:oneCellAnchor>
  <xdr:oneCellAnchor>
    <xdr:from>
      <xdr:col>3</xdr:col>
      <xdr:colOff>0</xdr:colOff>
      <xdr:row>17</xdr:row>
      <xdr:rowOff>35278</xdr:rowOff>
    </xdr:from>
    <xdr:ext cx="11350625" cy="1481666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C4030F98-9489-1BAF-4171-212CD3028E30}"/>
            </a:ext>
          </a:extLst>
        </xdr:cNvPr>
        <xdr:cNvSpPr txBox="1"/>
      </xdr:nvSpPr>
      <xdr:spPr>
        <a:xfrm>
          <a:off x="1213556" y="3055056"/>
          <a:ext cx="11350625" cy="1481666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algn="ctr"/>
          <a:r>
            <a:rPr lang="en-IN" sz="1400"/>
            <a:t> </a:t>
          </a:r>
          <a:r>
            <a:rPr lang="en-IN" sz="1200" b="1" u="sng"/>
            <a:t>Findings</a:t>
          </a:r>
          <a:r>
            <a:rPr lang="en-IN" sz="1400" baseline="0"/>
            <a:t> </a:t>
          </a:r>
        </a:p>
        <a:p>
          <a:pPr lvl="0"/>
          <a:r>
            <a:rPr lang="en-IN" sz="1200" b="1"/>
            <a:t>1.Profit grew slower, then faster, than revenue:</a:t>
          </a:r>
          <a:r>
            <a:rPr lang="en-IN" sz="1200"/>
            <a:t> Profit grew slower than revenue in FY2024-25 (2.3% vs 6.9%) and faster in FY2025-26 (20.2% vs 6.7%).</a:t>
          </a:r>
        </a:p>
        <a:p>
          <a:pPr lvl="0"/>
          <a:r>
            <a:rPr lang="en-IN" sz="1200" b="1"/>
            <a:t>2.In FY2025-26, revenue growth exceeded expense growth:</a:t>
          </a:r>
          <a:r>
            <a:rPr lang="en-IN" sz="1200"/>
            <a:t> Revenue increased by ₹1,149.90 crore while expenses increased by ₹816.88 crore, resulting in a ₹333.02 crore</a:t>
          </a:r>
        </a:p>
        <a:p>
          <a:pPr lvl="0"/>
          <a:r>
            <a:rPr lang="en-IN" sz="1200"/>
            <a:t> improvement in the revenue-minus-expenses contribution.</a:t>
          </a:r>
        </a:p>
        <a:p>
          <a:r>
            <a:rPr lang="en-IN" sz="1200" b="1"/>
            <a:t>3.Cost structure changed:</a:t>
          </a:r>
          <a:r>
            <a:rPr lang="en-IN" sz="1200"/>
            <a:t> Materials' revenue share rose 4.1 percentage points in FY2024–25. In FY2025–26, materials and purchases declined by 0.7 and 0.5 points, while employee</a:t>
          </a:r>
        </a:p>
        <a:p>
          <a:r>
            <a:rPr lang="en-IN" sz="1200"/>
            <a:t> benefits rose by 0.4 points.</a:t>
          </a:r>
        </a:p>
        <a:p>
          <a:pPr lvl="0"/>
          <a:r>
            <a:rPr lang="en-IN" sz="1200" b="1" u="sng"/>
            <a:t>NOTE</a:t>
          </a:r>
          <a:r>
            <a:rPr lang="en-IN" sz="1200"/>
            <a:t> : The statements show which lines moved, not why. Two years of change is not a trend.</a:t>
          </a:r>
        </a:p>
      </xdr:txBody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40D28A-5AFC-4718-98A2-ED8D46258B60}" name="Table1" displayName="Table1" ref="A4:E27" totalsRowShown="0" headerRowDxfId="17" headerRowBorderDxfId="16" tableBorderDxfId="15">
  <autoFilter ref="A4:E27" xr:uid="{D940D28A-5AFC-4718-98A2-ED8D46258B60}"/>
  <tableColumns count="5">
    <tableColumn id="1" xr3:uid="{7401C3EF-03FA-4684-8917-C24FEE7FAC72}" name="Block / metric" dataDxfId="14"/>
    <tableColumn id="2" xr3:uid="{8A3790C0-80FA-457F-91F2-7F7BAA399375}" name="FY2023-24"/>
    <tableColumn id="3" xr3:uid="{1B37483A-7AA9-4D28-B878-8CDB01AC4432}" name="FY2024-25"/>
    <tableColumn id="4" xr3:uid="{55DE2325-A80C-4A5E-9510-3806F028DC68}" name="FY2025-26"/>
    <tableColumn id="5" xr3:uid="{644C0D5F-8805-46E5-92F8-E06879FE2247}" name="How I calculated it (write in words)" dataDxfId="1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1C510FD-9A02-4329-ABBF-98BF3D3BAE2E}" name="Table3" displayName="Table3" ref="A1:B7" totalsRowShown="0" headerRowDxfId="12" dataDxfId="11">
  <autoFilter ref="A1:B7" xr:uid="{81C510FD-9A02-4329-ABBF-98BF3D3BAE2E}"/>
  <tableColumns count="2">
    <tableColumn id="2" xr3:uid="{85385054-4B4C-42A2-9F60-5F7BC0EF1C12}" name="Component" dataDxfId="10"/>
    <tableColumn id="3" xr3:uid="{5FCA8E9D-CAE1-4347-BBFF-523B4D96F9BE}" name="Change (₹ crore)" dataDxfId="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7689919-0354-400D-946D-016913CAA097}" name="Table4" displayName="Table4" ref="D1:F5" totalsRowShown="0" headerRowDxfId="8">
  <autoFilter ref="D1:F5" xr:uid="{97689919-0354-400D-946D-016913CAA097}"/>
  <tableColumns count="3">
    <tableColumn id="1" xr3:uid="{06F0F248-23DC-4171-A6F8-328A1BBDCE1F}" name="Line" dataDxfId="7"/>
    <tableColumn id="2" xr3:uid="{42FFD117-1259-4A7F-BBC9-9C6AC28CE361}" name="FY2024-25" dataDxfId="6"/>
    <tableColumn id="3" xr3:uid="{D01CB62F-1D9D-45EB-BE13-DA13DB7C05D5}" name="FY2025-26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topLeftCell="A6" zoomScaleNormal="100" workbookViewId="0">
      <selection activeCell="A7" sqref="A7:G24"/>
    </sheetView>
  </sheetViews>
  <sheetFormatPr defaultColWidth="8.6328125" defaultRowHeight="14.5"/>
  <cols>
    <col min="1" max="1" width="58" customWidth="1"/>
    <col min="2" max="5" width="14" customWidth="1"/>
    <col min="6" max="6" width="34.7265625" customWidth="1"/>
    <col min="7" max="7" width="36" customWidth="1"/>
    <col min="8" max="8" width="70" customWidth="1"/>
  </cols>
  <sheetData>
    <row r="1" spans="1:8" ht="15.75" customHeight="1">
      <c r="A1" s="1" t="s">
        <v>0</v>
      </c>
    </row>
    <row r="2" spans="1:8" ht="15" customHeight="1">
      <c r="A2" s="2" t="s">
        <v>1</v>
      </c>
      <c r="B2" s="3" t="s">
        <v>2</v>
      </c>
      <c r="C2" s="2" t="s">
        <v>3</v>
      </c>
      <c r="F2" s="3" t="s">
        <v>4</v>
      </c>
    </row>
    <row r="3" spans="1:8" ht="15" customHeight="1">
      <c r="A3" s="4" t="s">
        <v>5</v>
      </c>
    </row>
    <row r="4" spans="1:8" ht="15" customHeight="1">
      <c r="A4" s="4" t="s">
        <v>6</v>
      </c>
    </row>
    <row r="5" spans="1:8" ht="15" customHeight="1">
      <c r="A5" s="5" t="s">
        <v>7</v>
      </c>
      <c r="B5" s="5" t="s">
        <v>8</v>
      </c>
      <c r="C5" s="6">
        <v>1000</v>
      </c>
      <c r="D5" s="6">
        <v>1100</v>
      </c>
      <c r="E5" s="6">
        <v>1200</v>
      </c>
      <c r="F5" s="5" t="s">
        <v>9</v>
      </c>
      <c r="G5" s="5" t="s">
        <v>10</v>
      </c>
      <c r="H5" s="5" t="s">
        <v>11</v>
      </c>
    </row>
    <row r="7" spans="1:8" ht="15.5" customHeight="1">
      <c r="A7" s="7" t="s">
        <v>12</v>
      </c>
      <c r="B7" s="7" t="s">
        <v>13</v>
      </c>
      <c r="C7" s="8" t="s">
        <v>14</v>
      </c>
      <c r="D7" s="8" t="s">
        <v>15</v>
      </c>
      <c r="E7" s="8" t="s">
        <v>16</v>
      </c>
      <c r="F7" s="7" t="s">
        <v>17</v>
      </c>
      <c r="G7" s="7" t="s">
        <v>18</v>
      </c>
      <c r="H7" s="7" t="s">
        <v>19</v>
      </c>
    </row>
    <row r="8" spans="1:8" ht="15" customHeight="1">
      <c r="A8" s="9" t="s">
        <v>20</v>
      </c>
      <c r="B8" s="9" t="s">
        <v>8</v>
      </c>
      <c r="C8" s="10">
        <v>16186.08</v>
      </c>
      <c r="D8" s="10">
        <v>17295.919999999998</v>
      </c>
      <c r="E8" s="10">
        <v>18445.82</v>
      </c>
      <c r="F8" s="11" t="s">
        <v>21</v>
      </c>
      <c r="G8" s="11" t="s">
        <v>22</v>
      </c>
      <c r="H8" s="11" t="s">
        <v>23</v>
      </c>
    </row>
    <row r="9" spans="1:8" ht="15" customHeight="1">
      <c r="A9" s="9" t="s">
        <v>24</v>
      </c>
      <c r="B9" s="9" t="s">
        <v>8</v>
      </c>
      <c r="C9" s="10">
        <v>210.11</v>
      </c>
      <c r="D9" s="10">
        <v>250.68</v>
      </c>
      <c r="E9" s="10">
        <v>318.44</v>
      </c>
      <c r="F9" s="11" t="s">
        <v>21</v>
      </c>
      <c r="G9" s="11" t="s">
        <v>22</v>
      </c>
      <c r="H9" s="11"/>
    </row>
    <row r="10" spans="1:8" ht="15" customHeight="1">
      <c r="A10" s="9" t="s">
        <v>25</v>
      </c>
      <c r="B10" s="9" t="s">
        <v>8</v>
      </c>
      <c r="C10" s="10">
        <v>7394.74</v>
      </c>
      <c r="D10" s="10">
        <v>8608.64</v>
      </c>
      <c r="E10" s="10">
        <v>9045.68</v>
      </c>
      <c r="F10" s="11" t="s">
        <v>21</v>
      </c>
      <c r="G10" s="11" t="s">
        <v>22</v>
      </c>
      <c r="H10" s="11"/>
    </row>
    <row r="11" spans="1:8" ht="15" customHeight="1">
      <c r="A11" s="9" t="s">
        <v>26</v>
      </c>
      <c r="B11" s="9" t="s">
        <v>8</v>
      </c>
      <c r="C11" s="10">
        <v>2033.36</v>
      </c>
      <c r="D11" s="10">
        <v>1993.16</v>
      </c>
      <c r="E11" s="10">
        <v>2028.01</v>
      </c>
      <c r="F11" s="11" t="s">
        <v>21</v>
      </c>
      <c r="G11" s="11" t="s">
        <v>22</v>
      </c>
      <c r="H11" s="11"/>
    </row>
    <row r="12" spans="1:8" ht="15" customHeight="1">
      <c r="A12" s="9" t="s">
        <v>27</v>
      </c>
      <c r="B12" s="9" t="s">
        <v>8</v>
      </c>
      <c r="C12" s="10">
        <v>0.01</v>
      </c>
      <c r="D12" s="10">
        <v>-67.959999999999994</v>
      </c>
      <c r="E12" s="10">
        <v>-21.42</v>
      </c>
      <c r="F12" s="11" t="s">
        <v>21</v>
      </c>
      <c r="G12" s="11" t="s">
        <v>22</v>
      </c>
      <c r="H12" s="11"/>
    </row>
    <row r="13" spans="1:8" ht="15" customHeight="1">
      <c r="A13" s="9" t="s">
        <v>28</v>
      </c>
      <c r="B13" s="9" t="s">
        <v>8</v>
      </c>
      <c r="C13" s="10">
        <v>565.28</v>
      </c>
      <c r="D13" s="10">
        <v>554.70000000000005</v>
      </c>
      <c r="E13" s="10">
        <v>667.47</v>
      </c>
      <c r="F13" s="11" t="s">
        <v>21</v>
      </c>
      <c r="G13" s="11" t="s">
        <v>22</v>
      </c>
      <c r="H13" s="11"/>
    </row>
    <row r="14" spans="1:8" ht="15" customHeight="1">
      <c r="A14" s="9" t="s">
        <v>29</v>
      </c>
      <c r="B14" s="9" t="s">
        <v>8</v>
      </c>
      <c r="C14" s="10">
        <v>151.4</v>
      </c>
      <c r="D14" s="10">
        <v>137.1</v>
      </c>
      <c r="E14" s="10">
        <v>110.8</v>
      </c>
      <c r="F14" s="11" t="s">
        <v>21</v>
      </c>
      <c r="G14" s="11" t="s">
        <v>22</v>
      </c>
      <c r="H14" s="11"/>
    </row>
    <row r="15" spans="1:8" ht="15" customHeight="1">
      <c r="A15" s="9" t="s">
        <v>30</v>
      </c>
      <c r="B15" s="9" t="s">
        <v>8</v>
      </c>
      <c r="C15" s="10">
        <v>271.19</v>
      </c>
      <c r="D15" s="10">
        <v>284.67</v>
      </c>
      <c r="E15" s="10">
        <v>305.33999999999997</v>
      </c>
      <c r="F15" s="11" t="s">
        <v>21</v>
      </c>
      <c r="G15" s="11" t="s">
        <v>22</v>
      </c>
      <c r="H15" s="11"/>
    </row>
    <row r="16" spans="1:8" ht="15" customHeight="1">
      <c r="A16" s="9" t="s">
        <v>31</v>
      </c>
      <c r="B16" s="9" t="s">
        <v>8</v>
      </c>
      <c r="C16" s="10">
        <v>3121.87</v>
      </c>
      <c r="D16" s="10">
        <v>3143.73</v>
      </c>
      <c r="E16" s="10">
        <v>3335.04</v>
      </c>
      <c r="F16" s="11" t="s">
        <v>21</v>
      </c>
      <c r="G16" s="11" t="s">
        <v>22</v>
      </c>
      <c r="H16" s="11"/>
    </row>
    <row r="17" spans="1:8" ht="15" customHeight="1">
      <c r="A17" s="9" t="s">
        <v>32</v>
      </c>
      <c r="B17" s="9" t="s">
        <v>8</v>
      </c>
      <c r="C17" s="10">
        <v>13537.85</v>
      </c>
      <c r="D17" s="10">
        <v>14654.04</v>
      </c>
      <c r="E17" s="10">
        <v>15470.92</v>
      </c>
      <c r="F17" s="11" t="s">
        <v>21</v>
      </c>
      <c r="G17" s="11" t="s">
        <v>22</v>
      </c>
      <c r="H17" s="11"/>
    </row>
    <row r="18" spans="1:8" ht="15" customHeight="1">
      <c r="A18" s="9" t="s">
        <v>33</v>
      </c>
      <c r="B18" s="9" t="s">
        <v>8</v>
      </c>
      <c r="C18" s="10">
        <v>-2.9</v>
      </c>
      <c r="D18" s="10">
        <v>-24.79</v>
      </c>
      <c r="E18" s="10">
        <v>0</v>
      </c>
      <c r="F18" s="11" t="s">
        <v>21</v>
      </c>
      <c r="G18" s="11" t="s">
        <v>22</v>
      </c>
      <c r="H18" s="11" t="s">
        <v>34</v>
      </c>
    </row>
    <row r="19" spans="1:8" ht="15" customHeight="1">
      <c r="A19" s="9" t="s">
        <v>35</v>
      </c>
      <c r="B19" s="9" t="s">
        <v>8</v>
      </c>
      <c r="C19" s="10">
        <v>2855.44</v>
      </c>
      <c r="D19" s="10">
        <v>2867.77</v>
      </c>
      <c r="E19" s="10">
        <v>3293.34</v>
      </c>
      <c r="F19" s="11" t="s">
        <v>21</v>
      </c>
      <c r="G19" s="11" t="s">
        <v>22</v>
      </c>
      <c r="H19" s="11"/>
    </row>
    <row r="20" spans="1:8" ht="15" customHeight="1">
      <c r="A20" s="9" t="s">
        <v>36</v>
      </c>
      <c r="B20" s="9" t="s">
        <v>8</v>
      </c>
      <c r="C20" s="10">
        <v>773.39</v>
      </c>
      <c r="D20" s="10">
        <v>737.05</v>
      </c>
      <c r="E20" s="10">
        <v>731.62</v>
      </c>
      <c r="F20" s="11" t="s">
        <v>21</v>
      </c>
      <c r="G20" s="11" t="s">
        <v>22</v>
      </c>
      <c r="H20" s="11" t="s">
        <v>37</v>
      </c>
    </row>
    <row r="21" spans="1:8" ht="15" customHeight="1">
      <c r="A21" s="9" t="s">
        <v>38</v>
      </c>
      <c r="B21" s="9" t="s">
        <v>8</v>
      </c>
      <c r="C21" s="10">
        <v>2082.0500000000002</v>
      </c>
      <c r="D21" s="10">
        <v>2130.7199999999998</v>
      </c>
      <c r="E21" s="10">
        <v>2561.7199999999998</v>
      </c>
      <c r="F21" s="11" t="s">
        <v>21</v>
      </c>
      <c r="G21" s="11" t="s">
        <v>22</v>
      </c>
      <c r="H21" s="11"/>
    </row>
    <row r="22" spans="1:8" ht="15" customHeight="1">
      <c r="A22" s="9" t="s">
        <v>39</v>
      </c>
      <c r="B22" s="9" t="s">
        <v>40</v>
      </c>
      <c r="C22" s="10">
        <v>1075.44</v>
      </c>
      <c r="D22" s="10">
        <v>1128.9000000000001</v>
      </c>
      <c r="E22" s="10">
        <v>1219.92</v>
      </c>
      <c r="F22" s="11" t="s">
        <v>21</v>
      </c>
      <c r="G22" s="11" t="s">
        <v>41</v>
      </c>
      <c r="H22" s="11"/>
    </row>
    <row r="23" spans="1:8" ht="15" customHeight="1">
      <c r="A23" s="9" t="s">
        <v>42</v>
      </c>
      <c r="B23" s="9" t="s">
        <v>40</v>
      </c>
      <c r="C23" s="10">
        <v>347.05</v>
      </c>
      <c r="D23" s="10">
        <v>379.63</v>
      </c>
      <c r="E23" s="10">
        <v>404.74</v>
      </c>
      <c r="F23" s="11" t="s">
        <v>21</v>
      </c>
      <c r="G23" s="11" t="s">
        <v>41</v>
      </c>
      <c r="H23" s="11"/>
    </row>
    <row r="24" spans="1:8" ht="15" customHeight="1">
      <c r="A24" s="9" t="s">
        <v>43</v>
      </c>
      <c r="B24" s="9" t="s">
        <v>44</v>
      </c>
      <c r="C24" s="10">
        <v>2233.73</v>
      </c>
      <c r="D24" s="10">
        <v>2365.5300000000002</v>
      </c>
      <c r="E24" s="10">
        <v>2546.7399999999998</v>
      </c>
      <c r="F24" s="11" t="s">
        <v>21</v>
      </c>
      <c r="G24" s="11" t="s">
        <v>45</v>
      </c>
      <c r="H24" s="11" t="s">
        <v>46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"/>
  <sheetViews>
    <sheetView zoomScaleNormal="100" workbookViewId="0"/>
  </sheetViews>
  <sheetFormatPr defaultColWidth="8.6328125" defaultRowHeight="14.5"/>
  <cols>
    <col min="1" max="1" width="44" customWidth="1"/>
    <col min="2" max="2" width="56" customWidth="1"/>
    <col min="3" max="5" width="22" customWidth="1"/>
  </cols>
  <sheetData>
    <row r="1" spans="1:5" ht="15.75" customHeight="1">
      <c r="A1" s="1" t="s">
        <v>47</v>
      </c>
    </row>
    <row r="3" spans="1:5" ht="15" customHeight="1">
      <c r="A3" s="2" t="s">
        <v>48</v>
      </c>
      <c r="B3" s="3">
        <v>0.5</v>
      </c>
      <c r="C3" s="4" t="s">
        <v>49</v>
      </c>
    </row>
    <row r="5" spans="1:5" ht="15" customHeight="1">
      <c r="A5" s="12" t="s">
        <v>50</v>
      </c>
      <c r="B5" s="12" t="s">
        <v>51</v>
      </c>
      <c r="C5" s="12" t="str">
        <f>Data!C7</f>
        <v>FY2023-24</v>
      </c>
      <c r="D5" s="12" t="str">
        <f>Data!D7</f>
        <v>FY2024-25</v>
      </c>
      <c r="E5" s="12" t="str">
        <f>Data!E7</f>
        <v>FY2025-26</v>
      </c>
    </row>
    <row r="6" spans="1:5" ht="15" customHeight="1">
      <c r="A6" s="9" t="s">
        <v>52</v>
      </c>
      <c r="B6" s="9" t="s">
        <v>53</v>
      </c>
      <c r="C6" s="13">
        <f>IF(COUNT(Data!C10:C17)&lt;8,"",SUM(Data!C10:C16)-Data!C17)</f>
        <v>1.8189894035458565E-12</v>
      </c>
      <c r="D6" s="13">
        <f>IF(COUNT(Data!D10:D17)&lt;8,"",SUM(Data!D10:D16)-Data!D17)</f>
        <v>0</v>
      </c>
      <c r="E6" s="13">
        <f>IF(COUNT(Data!E10:E17)&lt;8,"",SUM(Data!E10:E16)-Data!E17)</f>
        <v>-1.8189894035458565E-12</v>
      </c>
    </row>
    <row r="7" spans="1:5" ht="15" customHeight="1">
      <c r="A7" s="14" t="s">
        <v>54</v>
      </c>
      <c r="B7" s="15"/>
      <c r="C7" s="14" t="str">
        <f>IF(C6="","Not filled yet",IF(ABS(C6)&lt;=$B$3,"OK","CHECK - find the mistake"))</f>
        <v>OK</v>
      </c>
      <c r="D7" s="14" t="str">
        <f>IF(D6="","Not filled yet",IF(ABS(D6)&lt;=$B$3,"OK","CHECK - find the mistake"))</f>
        <v>OK</v>
      </c>
      <c r="E7" s="14" t="str">
        <f>IF(E6="","Not filled yet",IF(ABS(E6)&lt;=$B$3,"OK","CHECK - find the mistake"))</f>
        <v>OK</v>
      </c>
    </row>
    <row r="8" spans="1:5" ht="15" customHeight="1">
      <c r="A8" s="9" t="s">
        <v>55</v>
      </c>
      <c r="B8" s="9" t="s">
        <v>56</v>
      </c>
      <c r="C8" s="13">
        <f>IF(COUNT(Data!C8:C19)&lt;12,"",Data!C8+Data!C9-Data!C17+Data!C18-Data!C19)</f>
        <v>-1.8189894035458565E-12</v>
      </c>
      <c r="D8" s="13">
        <f>IF(COUNT(Data!D8:D19)&lt;12,"",Data!D8+Data!D9-Data!D17+Data!D18-Data!D19)</f>
        <v>-2.2737367544323206E-12</v>
      </c>
      <c r="E8" s="13">
        <f>IF(COUNT(Data!E8:E19)&lt;12,"",Data!E8+Data!E9-Data!E17+Data!E18-Data!E19)</f>
        <v>-1.8189894035458565E-12</v>
      </c>
    </row>
    <row r="9" spans="1:5" ht="15" customHeight="1">
      <c r="A9" s="14" t="s">
        <v>57</v>
      </c>
      <c r="B9" s="15"/>
      <c r="C9" s="14" t="str">
        <f>IF(C8="","Not filled yet",IF(ABS(C8)&lt;=$B$3,"OK","CHECK - find the mistake"))</f>
        <v>OK</v>
      </c>
      <c r="D9" s="14" t="str">
        <f>IF(D8="","Not filled yet",IF(ABS(D8)&lt;=$B$3,"OK","CHECK - find the mistake"))</f>
        <v>OK</v>
      </c>
      <c r="E9" s="14" t="str">
        <f>IF(E8="","Not filled yet",IF(ABS(E8)&lt;=$B$3,"OK","CHECK - find the mistake"))</f>
        <v>OK</v>
      </c>
    </row>
    <row r="10" spans="1:5" ht="15" customHeight="1">
      <c r="A10" s="9" t="s">
        <v>58</v>
      </c>
      <c r="B10" s="9" t="s">
        <v>59</v>
      </c>
      <c r="C10" s="13">
        <f>IF(COUNT(Data!C19:C21)&lt;3,"",Data!C19-Data!C20-Data!C21)</f>
        <v>0</v>
      </c>
      <c r="D10" s="13">
        <f>IF(COUNT(Data!D19:D21)&lt;3,"",Data!D19-Data!D20-Data!D21)</f>
        <v>4.5474735088646412E-13</v>
      </c>
      <c r="E10" s="13">
        <f>IF(COUNT(Data!E19:E21)&lt;3,"",Data!E19-Data!E20-Data!E21)</f>
        <v>4.5474735088646412E-13</v>
      </c>
    </row>
    <row r="11" spans="1:5" ht="15" customHeight="1">
      <c r="A11" s="14" t="s">
        <v>60</v>
      </c>
      <c r="B11" s="15"/>
      <c r="C11" s="14" t="str">
        <f>IF(C10="","Not filled yet",IF(ABS(C10)&lt;=$B$3,"OK","CHECK - find the mistake"))</f>
        <v>OK</v>
      </c>
      <c r="D11" s="14" t="str">
        <f>IF(D10="","Not filled yet",IF(ABS(D10)&lt;=$B$3,"OK","CHECK - find the mistake"))</f>
        <v>OK</v>
      </c>
      <c r="E11" s="14" t="str">
        <f>IF(E10="","Not filled yet",IF(ABS(E10)&lt;=$B$3,"OK","CHECK - find the mistake"))</f>
        <v>OK</v>
      </c>
    </row>
    <row r="13" spans="1:5" ht="15" customHeight="1">
      <c r="A13" s="4" t="s">
        <v>61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7"/>
  <sheetViews>
    <sheetView topLeftCell="F10" zoomScaleNormal="100" workbookViewId="0">
      <selection activeCell="D17" sqref="D17"/>
    </sheetView>
  </sheetViews>
  <sheetFormatPr defaultColWidth="8.6328125" defaultRowHeight="14.5"/>
  <cols>
    <col min="1" max="1" width="42" customWidth="1"/>
    <col min="2" max="4" width="14" customWidth="1"/>
    <col min="5" max="5" width="78.90625" customWidth="1"/>
    <col min="7" max="7" width="25" customWidth="1"/>
    <col min="8" max="8" width="12.90625" customWidth="1"/>
    <col min="9" max="9" width="24.08984375" customWidth="1"/>
    <col min="10" max="10" width="14.36328125" customWidth="1"/>
    <col min="11" max="11" width="23.1796875" customWidth="1"/>
    <col min="12" max="12" width="2.54296875" customWidth="1"/>
    <col min="13" max="13" width="2.90625" customWidth="1"/>
    <col min="14" max="15" width="53.1796875" customWidth="1"/>
  </cols>
  <sheetData>
    <row r="1" spans="1:14" ht="15.75" customHeight="1">
      <c r="A1" s="1" t="s">
        <v>62</v>
      </c>
    </row>
    <row r="2" spans="1:14" ht="15" customHeight="1">
      <c r="A2" s="4" t="s">
        <v>63</v>
      </c>
    </row>
    <row r="4" spans="1:14" ht="15" customHeight="1">
      <c r="A4" s="26" t="s">
        <v>64</v>
      </c>
      <c r="B4" s="26" t="s">
        <v>14</v>
      </c>
      <c r="C4" s="26" t="s">
        <v>15</v>
      </c>
      <c r="D4" s="26" t="s">
        <v>16</v>
      </c>
      <c r="E4" s="26" t="s">
        <v>65</v>
      </c>
      <c r="F4" s="18"/>
      <c r="G4" s="18"/>
      <c r="H4" s="18"/>
    </row>
    <row r="5" spans="1:14" ht="15" customHeight="1">
      <c r="A5" s="14" t="s">
        <v>66</v>
      </c>
      <c r="E5" s="15"/>
      <c r="F5" s="16"/>
      <c r="G5" s="19" t="s">
        <v>86</v>
      </c>
      <c r="H5" s="19" t="s">
        <v>83</v>
      </c>
      <c r="I5" s="19" t="s">
        <v>84</v>
      </c>
    </row>
    <row r="6" spans="1:14" ht="15" customHeight="1">
      <c r="A6" s="14" t="s">
        <v>24</v>
      </c>
      <c r="B6" s="16">
        <f>Data!C9/Data!C8</f>
        <v>1.2980907050996906E-2</v>
      </c>
      <c r="C6" s="16">
        <f>Data!D9/Data!D8</f>
        <v>1.4493591552227347E-2</v>
      </c>
      <c r="D6" s="16">
        <f>Data!E9/Data!E8</f>
        <v>1.7263531792026596E-2</v>
      </c>
      <c r="E6" t="s">
        <v>100</v>
      </c>
      <c r="F6" s="16"/>
      <c r="G6" s="9" t="s">
        <v>25</v>
      </c>
      <c r="H6" s="16">
        <f>C7-B7</f>
        <v>4.0868639924853511E-2</v>
      </c>
      <c r="I6" s="16">
        <f>D7-C7</f>
        <v>-7.3347703459287206E-3</v>
      </c>
      <c r="M6" s="21"/>
    </row>
    <row r="7" spans="1:14" ht="34.5" customHeight="1">
      <c r="A7" s="9" t="s">
        <v>25</v>
      </c>
      <c r="B7" s="16">
        <f>Data!C10/Data!C$8</f>
        <v>0.45685799155817836</v>
      </c>
      <c r="C7" s="17">
        <f>Data!D10/Data!D8</f>
        <v>0.49772663148303187</v>
      </c>
      <c r="D7" s="17">
        <f>Data!E10/Data!E8</f>
        <v>0.49039186113710315</v>
      </c>
      <c r="E7" s="23" t="s">
        <v>101</v>
      </c>
      <c r="F7" s="16"/>
      <c r="G7" s="9" t="s">
        <v>26</v>
      </c>
      <c r="H7" s="16">
        <f t="shared" ref="H7:H14" si="0">C8-B8</f>
        <v>-1.0385254577309752E-2</v>
      </c>
      <c r="I7" s="16">
        <f t="shared" ref="I7:I14" si="1">D8-C8</f>
        <v>-5.2945884362087109E-3</v>
      </c>
      <c r="M7" s="21"/>
      <c r="N7" s="22"/>
    </row>
    <row r="8" spans="1:14" ht="15" customHeight="1">
      <c r="A8" s="9" t="s">
        <v>26</v>
      </c>
      <c r="B8" s="17">
        <f>Data!C11/Data!C8</f>
        <v>0.12562399296185364</v>
      </c>
      <c r="C8" s="17">
        <f>Data!D11/Data!D8</f>
        <v>0.11523873838454389</v>
      </c>
      <c r="D8" s="17">
        <f>Data!E11/Data!E8</f>
        <v>0.10994414994833518</v>
      </c>
      <c r="E8" s="22" t="s">
        <v>102</v>
      </c>
      <c r="F8" s="16"/>
      <c r="G8" s="9" t="s">
        <v>67</v>
      </c>
      <c r="H8" s="16">
        <f t="shared" si="0"/>
        <v>-3.929868181374154E-3</v>
      </c>
      <c r="I8" s="16">
        <f t="shared" si="1"/>
        <v>2.7680116685789981E-3</v>
      </c>
      <c r="M8" s="21"/>
      <c r="N8" s="22"/>
    </row>
    <row r="9" spans="1:14" ht="15" customHeight="1">
      <c r="A9" s="9" t="s">
        <v>67</v>
      </c>
      <c r="B9" s="17">
        <f>Data!C12/Data!C8</f>
        <v>6.1781481371647742E-7</v>
      </c>
      <c r="C9" s="17">
        <f>Data!D12/Data!D8</f>
        <v>-3.9292503665604378E-3</v>
      </c>
      <c r="D9" s="17">
        <f>Data!E12/Data!E8</f>
        <v>-1.1612386979814398E-3</v>
      </c>
      <c r="E9" s="22" t="s">
        <v>103</v>
      </c>
      <c r="G9" s="9" t="s">
        <v>78</v>
      </c>
      <c r="H9" s="16">
        <f t="shared" si="0"/>
        <v>-2.9572502663271355E-4</v>
      </c>
      <c r="I9" s="16">
        <f t="shared" si="1"/>
        <v>9.4548886249812975E-5</v>
      </c>
      <c r="M9" s="21"/>
      <c r="N9" s="22"/>
    </row>
    <row r="10" spans="1:14" ht="15" customHeight="1">
      <c r="A10" s="9" t="s">
        <v>78</v>
      </c>
      <c r="B10" s="17">
        <f>Data!C15/Data!C8</f>
        <v>1.6754519933177149E-2</v>
      </c>
      <c r="C10" s="17">
        <f>Data!D15/Data!D8</f>
        <v>1.6458794906544436E-2</v>
      </c>
      <c r="D10" s="17">
        <f>Data!E15/Data!E8</f>
        <v>1.6553343792794249E-2</v>
      </c>
      <c r="E10" s="22" t="s">
        <v>104</v>
      </c>
      <c r="G10" t="s">
        <v>79</v>
      </c>
      <c r="H10" s="16">
        <f t="shared" si="0"/>
        <v>-1.4269913641960733E-3</v>
      </c>
      <c r="I10" s="16">
        <f t="shared" si="1"/>
        <v>-1.9199439753993346E-3</v>
      </c>
      <c r="M10" s="21"/>
      <c r="N10" s="22"/>
    </row>
    <row r="11" spans="1:14" ht="15" customHeight="1">
      <c r="A11" t="s">
        <v>79</v>
      </c>
      <c r="B11" s="17">
        <f>Data!C14/Data!C8</f>
        <v>9.3537162796674678E-3</v>
      </c>
      <c r="C11" s="17">
        <f>Data!D14/Data!D8</f>
        <v>7.9267249154713944E-3</v>
      </c>
      <c r="D11" s="17">
        <f>Data!E14/Data!E8</f>
        <v>6.0067809400720599E-3</v>
      </c>
      <c r="E11" s="22" t="s">
        <v>105</v>
      </c>
      <c r="G11" t="s">
        <v>80</v>
      </c>
      <c r="H11" s="16">
        <f t="shared" si="0"/>
        <v>-1.2541197044200034E-3</v>
      </c>
      <c r="I11" s="16">
        <f t="shared" si="1"/>
        <v>1.4332860003977818E-3</v>
      </c>
      <c r="M11" s="21"/>
      <c r="N11" s="22"/>
    </row>
    <row r="12" spans="1:14" ht="15" customHeight="1">
      <c r="A12" t="s">
        <v>80</v>
      </c>
      <c r="B12" s="17">
        <f>Data!C18/Data!C8</f>
        <v>-1.7916629597777844E-4</v>
      </c>
      <c r="C12" s="17">
        <f>Data!D18/Data!D8</f>
        <v>-1.4332860003977818E-3</v>
      </c>
      <c r="D12" s="17">
        <f>Data!E18/Data!E8</f>
        <v>0</v>
      </c>
      <c r="E12" s="22" t="s">
        <v>106</v>
      </c>
      <c r="G12" t="s">
        <v>81</v>
      </c>
      <c r="H12" s="16">
        <f t="shared" si="0"/>
        <v>-5.1670836056029526E-3</v>
      </c>
      <c r="I12" s="16">
        <f t="shared" si="1"/>
        <v>-2.9509097076546795E-3</v>
      </c>
      <c r="M12" s="21"/>
      <c r="N12" s="22"/>
    </row>
    <row r="13" spans="1:14" ht="15" customHeight="1">
      <c r="A13" t="s">
        <v>81</v>
      </c>
      <c r="B13" s="17">
        <f>Data!C20/Data!C8</f>
        <v>4.7781179878018644E-2</v>
      </c>
      <c r="C13" s="17">
        <f>Data!D20/Data!D8</f>
        <v>4.2614096272415691E-2</v>
      </c>
      <c r="D13" s="17">
        <f>Data!E20/Data!E8</f>
        <v>3.9663186564761012E-2</v>
      </c>
      <c r="E13" s="22" t="s">
        <v>107</v>
      </c>
      <c r="G13" s="9" t="s">
        <v>28</v>
      </c>
      <c r="H13" s="16">
        <f t="shared" si="0"/>
        <v>-2.8526883746521001E-3</v>
      </c>
      <c r="I13" s="16">
        <f t="shared" si="1"/>
        <v>4.1142864663843426E-3</v>
      </c>
      <c r="M13" s="21"/>
      <c r="N13" s="22"/>
    </row>
    <row r="14" spans="1:14" ht="15" customHeight="1">
      <c r="A14" s="9" t="s">
        <v>28</v>
      </c>
      <c r="B14" s="17">
        <f>Data!C13/Data!C8</f>
        <v>3.4923835789765031E-2</v>
      </c>
      <c r="C14" s="17">
        <f>Data!D13/Data!D8</f>
        <v>3.2071147415112931E-2</v>
      </c>
      <c r="D14" s="17">
        <f>Data!E13/Data!E8</f>
        <v>3.6185433881497274E-2</v>
      </c>
      <c r="E14" s="22" t="s">
        <v>108</v>
      </c>
      <c r="G14" s="9" t="s">
        <v>31</v>
      </c>
      <c r="H14" s="16">
        <f t="shared" si="0"/>
        <v>-1.1112389876147266E-2</v>
      </c>
      <c r="I14" s="16">
        <f t="shared" si="1"/>
        <v>-9.5942559036438224E-4</v>
      </c>
      <c r="M14" s="21"/>
      <c r="N14" s="22"/>
    </row>
    <row r="15" spans="1:14" ht="15" customHeight="1">
      <c r="A15" s="9" t="s">
        <v>31</v>
      </c>
      <c r="B15" s="17">
        <f>Data!C16/Data!C8</f>
        <v>0.1928737532497059</v>
      </c>
      <c r="C15" s="17">
        <f>Data!D16/Data!D8</f>
        <v>0.18176136337355864</v>
      </c>
      <c r="D15" s="17">
        <f>Data!E16/Data!E8</f>
        <v>0.18080193778319426</v>
      </c>
      <c r="E15" s="22" t="s">
        <v>109</v>
      </c>
      <c r="M15" s="21"/>
      <c r="N15" s="22"/>
    </row>
    <row r="16" spans="1:14" ht="15" customHeight="1">
      <c r="A16" s="9" t="s">
        <v>38</v>
      </c>
      <c r="B16" s="17">
        <f>Data!C21/Data!C8</f>
        <v>0.12863213328983919</v>
      </c>
      <c r="C16" s="17">
        <f>Data!D21/Data!D8</f>
        <v>0.12319205916771123</v>
      </c>
      <c r="D16" s="17">
        <f>Data!E21/Data!E8</f>
        <v>0.13887807644225086</v>
      </c>
      <c r="E16" s="22" t="s">
        <v>110</v>
      </c>
      <c r="M16" s="21"/>
      <c r="N16" s="22"/>
    </row>
    <row r="17" spans="1:14" ht="15" customHeight="1">
      <c r="A17" s="14" t="s">
        <v>68</v>
      </c>
      <c r="B17" s="15"/>
      <c r="C17" s="15"/>
      <c r="D17" s="15"/>
      <c r="E17" s="15"/>
      <c r="M17" s="21"/>
      <c r="N17" s="22"/>
    </row>
    <row r="18" spans="1:14" ht="15" customHeight="1">
      <c r="A18" s="9" t="s">
        <v>69</v>
      </c>
      <c r="B18" s="15" t="s">
        <v>82</v>
      </c>
      <c r="C18" s="17">
        <f>Data!D8/Data!C8-1</f>
        <v>6.8567559285509505E-2</v>
      </c>
      <c r="D18" s="17">
        <f>Data!E8/Data!D8-1</f>
        <v>6.6483887529544594E-2</v>
      </c>
      <c r="E18" s="22" t="s">
        <v>111</v>
      </c>
      <c r="G18" s="19" t="s">
        <v>87</v>
      </c>
      <c r="H18" s="19" t="s">
        <v>96</v>
      </c>
      <c r="I18" s="19" t="s">
        <v>98</v>
      </c>
      <c r="J18" s="19" t="s">
        <v>97</v>
      </c>
      <c r="K18" s="19" t="s">
        <v>98</v>
      </c>
      <c r="M18" s="21"/>
      <c r="N18" s="22"/>
    </row>
    <row r="19" spans="1:14" ht="15" customHeight="1">
      <c r="A19" s="9" t="s">
        <v>70</v>
      </c>
      <c r="B19" s="15" t="s">
        <v>82</v>
      </c>
      <c r="C19" s="17">
        <f>Data!D21/Data!C21-1</f>
        <v>2.3375999615763199E-2</v>
      </c>
      <c r="D19" s="17">
        <f>Data!E21/Data!D21-1</f>
        <v>0.20227904182623724</v>
      </c>
      <c r="E19" s="22" t="s">
        <v>112</v>
      </c>
      <c r="G19" t="s">
        <v>88</v>
      </c>
      <c r="H19">
        <f>Data!E8-Data!D8</f>
        <v>1149.9000000000015</v>
      </c>
      <c r="I19" s="16">
        <f>H19/Data!D21</f>
        <v>0.53967672899301722</v>
      </c>
      <c r="J19">
        <f>Data!D8-Data!C8</f>
        <v>1109.8399999999983</v>
      </c>
      <c r="K19" s="16">
        <f>J19/Data!C21</f>
        <v>0.53305155976081176</v>
      </c>
    </row>
    <row r="20" spans="1:14" ht="15" customHeight="1">
      <c r="A20" s="9" t="s">
        <v>85</v>
      </c>
      <c r="B20" s="15" t="s">
        <v>82</v>
      </c>
      <c r="C20" s="17">
        <f>Data!D17/Data!C17-1</f>
        <v>8.2449576557577453E-2</v>
      </c>
      <c r="D20" s="17">
        <f>Data!E17/Data!D17-1</f>
        <v>5.5744354457883283E-2</v>
      </c>
      <c r="E20" s="22" t="s">
        <v>113</v>
      </c>
      <c r="G20" t="s">
        <v>89</v>
      </c>
      <c r="H20">
        <f>Data!E9-Data!D9</f>
        <v>67.759999999999991</v>
      </c>
      <c r="I20" s="16">
        <f>H20/Data!D21</f>
        <v>3.1801456784561088E-2</v>
      </c>
      <c r="J20">
        <f>Data!D9-Data!C9</f>
        <v>40.569999999999993</v>
      </c>
      <c r="K20" s="16">
        <f>J20/Data!C21</f>
        <v>1.9485603131529017E-2</v>
      </c>
    </row>
    <row r="21" spans="1:14" ht="15" customHeight="1">
      <c r="A21" s="14" t="s">
        <v>71</v>
      </c>
      <c r="B21" s="15"/>
      <c r="C21" s="15"/>
      <c r="D21" s="15"/>
      <c r="E21" s="15"/>
      <c r="G21" t="s">
        <v>90</v>
      </c>
      <c r="H21">
        <f>-(Data!E17-Data!D17)</f>
        <v>-816.8799999999992</v>
      </c>
      <c r="I21" s="16">
        <f>H21/Data!D21</f>
        <v>-0.3833821431253282</v>
      </c>
      <c r="J21">
        <f>-(Data!D17-Data!C17)</f>
        <v>-1116.1900000000005</v>
      </c>
      <c r="K21" s="16">
        <f>J21/Data!C21</f>
        <v>-0.5361014384861077</v>
      </c>
    </row>
    <row r="22" spans="1:14" ht="15" customHeight="1">
      <c r="A22" s="9" t="s">
        <v>72</v>
      </c>
      <c r="B22" s="17">
        <f>1-(B8+B7+B9)</f>
        <v>0.41751739766515428</v>
      </c>
      <c r="C22" s="17">
        <f t="shared" ref="C22:D22" si="2">1-(C8+C7+C9)</f>
        <v>0.39096388049898467</v>
      </c>
      <c r="D22" s="17">
        <f t="shared" si="2"/>
        <v>0.40082522761254313</v>
      </c>
      <c r="E22" t="s">
        <v>116</v>
      </c>
      <c r="G22" t="s">
        <v>91</v>
      </c>
      <c r="H22" s="20">
        <f>Data!E18-Data!D18</f>
        <v>24.79</v>
      </c>
      <c r="I22" s="16">
        <f>H22/Data!D21</f>
        <v>1.1634564841931367E-2</v>
      </c>
      <c r="J22" s="20">
        <f>Data!D18-Data!C18</f>
        <v>-21.89</v>
      </c>
      <c r="K22" s="16">
        <f>J22/Data!C21</f>
        <v>-1.05136764246776E-2</v>
      </c>
    </row>
    <row r="23" spans="1:14" ht="29">
      <c r="A23" s="9" t="s">
        <v>73</v>
      </c>
      <c r="B23" s="17">
        <f>(Data!C8-Data!C17+Data!C14)/Data!C8</f>
        <v>0.17296528869250613</v>
      </c>
      <c r="C23" s="17">
        <f>(Data!D8-Data!D17+Data!D14)/Data!D8</f>
        <v>0.16067257480376862</v>
      </c>
      <c r="D23" s="17">
        <f>(Data!E8-Data!E17+Data!E14)/Data!E8</f>
        <v>0.16728451215505735</v>
      </c>
      <c r="E23" s="23" t="s">
        <v>115</v>
      </c>
      <c r="G23" t="s">
        <v>92</v>
      </c>
      <c r="H23">
        <f>-(Data!E20-Data!D20)</f>
        <v>5.42999999999995</v>
      </c>
      <c r="I23" s="16">
        <f>H23/Data!D21</f>
        <v>2.5484343320567463E-3</v>
      </c>
      <c r="J23">
        <f>-(Data!D20-Data!C20)</f>
        <v>36.340000000000032</v>
      </c>
      <c r="K23" s="16">
        <f>J23/Data!C21</f>
        <v>1.7453951634206686E-2</v>
      </c>
    </row>
    <row r="24" spans="1:14" ht="15" customHeight="1">
      <c r="A24" s="9" t="s">
        <v>74</v>
      </c>
      <c r="B24" s="17">
        <f>B16</f>
        <v>0.12863213328983919</v>
      </c>
      <c r="C24" s="17">
        <f t="shared" ref="C24:D24" si="3">C16</f>
        <v>0.12319205916771123</v>
      </c>
      <c r="D24" s="17">
        <f t="shared" si="3"/>
        <v>0.13887807644225086</v>
      </c>
      <c r="E24" t="s">
        <v>114</v>
      </c>
      <c r="G24" t="s">
        <v>99</v>
      </c>
      <c r="H24">
        <f>H19+H21</f>
        <v>333.02000000000226</v>
      </c>
      <c r="J24">
        <f t="shared" ref="J24" si="4">J19+J21</f>
        <v>-6.3500000000021828</v>
      </c>
      <c r="K24" s="16"/>
    </row>
    <row r="25" spans="1:14" ht="34.5" customHeight="1">
      <c r="A25" s="9" t="s">
        <v>75</v>
      </c>
      <c r="B25" s="24">
        <f>Data!C23/Data!C8*365</f>
        <v>7.8260610351610769</v>
      </c>
      <c r="C25" s="24">
        <f>Data!D23/Data!D8*365</f>
        <v>8.0114240815174913</v>
      </c>
      <c r="D25" s="24">
        <f>Data!E23/Data!E8*365</f>
        <v>8.0088659652972876</v>
      </c>
      <c r="E25" s="21" t="s">
        <v>117</v>
      </c>
      <c r="G25" t="s">
        <v>93</v>
      </c>
      <c r="H25">
        <f>SUM(H19:H23)</f>
        <v>431.00000000000222</v>
      </c>
      <c r="I25" s="16">
        <f>H25/Data!D21</f>
        <v>0.20227904182623821</v>
      </c>
      <c r="J25">
        <f>SUM(J19:J23)</f>
        <v>48.669999999997785</v>
      </c>
      <c r="K25" s="16">
        <f>J25/Data!C21</f>
        <v>2.3375999615762245E-2</v>
      </c>
    </row>
    <row r="26" spans="1:14" ht="29" customHeight="1">
      <c r="A26" s="9" t="s">
        <v>76</v>
      </c>
      <c r="B26" s="25">
        <f>Data!C22/(Data!C10+Data!C11+Data!C12)*365</f>
        <v>41.634601208513686</v>
      </c>
      <c r="C26" s="25">
        <f>Data!D22/(Data!D10+Data!D11+Data!D12)*365</f>
        <v>39.116646920781029</v>
      </c>
      <c r="D26" s="25">
        <f>Data!E22/(Data!E10+Data!E11+Data!E12)*365</f>
        <v>40.287723698389563</v>
      </c>
      <c r="E26" s="21" t="s">
        <v>118</v>
      </c>
      <c r="G26" t="s">
        <v>94</v>
      </c>
      <c r="H26">
        <f>Data!E21-Data!D21</f>
        <v>431</v>
      </c>
      <c r="I26" s="16">
        <f>H26/Data!D21</f>
        <v>0.20227904182623715</v>
      </c>
      <c r="J26">
        <f>Data!D21-Data!C21</f>
        <v>48.669999999999618</v>
      </c>
      <c r="K26" s="16">
        <f>J26/Data!C21</f>
        <v>2.3375999615763126E-2</v>
      </c>
    </row>
    <row r="27" spans="1:14" ht="29.5" customHeight="1">
      <c r="A27" s="9" t="s">
        <v>77</v>
      </c>
      <c r="B27" s="16">
        <f>Data!C24/Data!C21</f>
        <v>1.0728512763862539</v>
      </c>
      <c r="C27" s="16">
        <f>Data!D24/Data!D21</f>
        <v>1.1102021851768418</v>
      </c>
      <c r="D27" s="16">
        <f>Data!E24/Data!E21</f>
        <v>0.99415236637883919</v>
      </c>
      <c r="E27" s="21" t="s">
        <v>119</v>
      </c>
      <c r="G27" t="s">
        <v>95</v>
      </c>
      <c r="H27">
        <v>0</v>
      </c>
      <c r="J27">
        <v>0</v>
      </c>
    </row>
  </sheetData>
  <conditionalFormatting sqref="G6">
    <cfRule type="top10" dxfId="4" priority="3" rank="3"/>
  </conditionalFormatting>
  <conditionalFormatting sqref="H5">
    <cfRule type="top10" dxfId="3" priority="1" rank="5"/>
  </conditionalFormatting>
  <conditionalFormatting sqref="H6:H14">
    <cfRule type="top10" dxfId="2" priority="2" percent="1" rank="4"/>
    <cfRule type="top10" dxfId="1" priority="5" rank="1"/>
  </conditionalFormatting>
  <conditionalFormatting sqref="I6:I14">
    <cfRule type="top10" dxfId="0" priority="4" rank="1"/>
  </conditionalFormatting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D3:V28"/>
  <sheetViews>
    <sheetView zoomScale="80" zoomScaleNormal="80" workbookViewId="0">
      <selection sqref="A1:XFD1"/>
    </sheetView>
  </sheetViews>
  <sheetFormatPr defaultColWidth="8.6328125" defaultRowHeight="14.5"/>
  <cols>
    <col min="1" max="1" width="6.36328125" customWidth="1"/>
    <col min="12" max="12" width="8.6328125" customWidth="1"/>
  </cols>
  <sheetData>
    <row r="3" spans="4:22" ht="15.75" customHeight="1">
      <c r="D3" s="30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2"/>
    </row>
    <row r="4" spans="4:22">
      <c r="D4" s="33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4"/>
    </row>
    <row r="5" spans="4:22" ht="15" customHeight="1">
      <c r="D5" s="33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4"/>
    </row>
    <row r="6" spans="4:22">
      <c r="D6" s="33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4"/>
    </row>
    <row r="7" spans="4:22" ht="15" customHeight="1">
      <c r="D7" s="33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4"/>
    </row>
    <row r="8" spans="4:22" ht="15" customHeight="1">
      <c r="D8" s="33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4"/>
    </row>
    <row r="9" spans="4:22" ht="15" customHeight="1">
      <c r="D9" s="33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4"/>
    </row>
    <row r="10" spans="4:22" ht="15" customHeight="1">
      <c r="D10" s="33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4"/>
    </row>
    <row r="11" spans="4:22" ht="15" customHeight="1">
      <c r="D11" s="33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4"/>
    </row>
    <row r="12" spans="4:22" ht="15" customHeight="1">
      <c r="D12" s="33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4"/>
    </row>
    <row r="13" spans="4:22" ht="15" customHeight="1">
      <c r="D13" s="33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4"/>
    </row>
    <row r="14" spans="4:22" ht="15" customHeight="1">
      <c r="D14" s="33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4"/>
    </row>
    <row r="15" spans="4:22" ht="15" customHeight="1">
      <c r="D15" s="33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4"/>
    </row>
    <row r="16" spans="4:22">
      <c r="D16" s="33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4"/>
    </row>
    <row r="17" spans="4:22">
      <c r="D17" s="33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4"/>
    </row>
    <row r="18" spans="4:22">
      <c r="D18" s="33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4"/>
    </row>
    <row r="19" spans="4:22">
      <c r="D19" s="33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4"/>
    </row>
    <row r="20" spans="4:22">
      <c r="D20" s="33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4"/>
    </row>
    <row r="21" spans="4:22">
      <c r="D21" s="33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4"/>
    </row>
    <row r="22" spans="4:22">
      <c r="D22" s="33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4"/>
    </row>
    <row r="23" spans="4:22">
      <c r="D23" s="33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4"/>
    </row>
    <row r="24" spans="4:22">
      <c r="D24" s="33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4"/>
    </row>
    <row r="25" spans="4:22">
      <c r="D25" s="33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4"/>
    </row>
    <row r="26" spans="4:22">
      <c r="D26" s="33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4"/>
    </row>
    <row r="27" spans="4:22">
      <c r="D27" s="33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4"/>
    </row>
    <row r="28" spans="4:22">
      <c r="D28" s="35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7"/>
    </row>
  </sheetData>
  <mergeCells count="1">
    <mergeCell ref="D3:V28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D7B52-8FD2-4265-B975-3943465A57CC}">
  <dimension ref="A1:G7"/>
  <sheetViews>
    <sheetView tabSelected="1" workbookViewId="0">
      <selection activeCell="H9" sqref="H9"/>
    </sheetView>
  </sheetViews>
  <sheetFormatPr defaultRowHeight="14.5"/>
  <cols>
    <col min="1" max="1" width="17.90625" customWidth="1"/>
    <col min="2" max="2" width="20.36328125" customWidth="1"/>
    <col min="4" max="4" width="12.6328125" customWidth="1"/>
    <col min="5" max="5" width="11.90625" customWidth="1"/>
    <col min="6" max="6" width="11.36328125" customWidth="1"/>
  </cols>
  <sheetData>
    <row r="1" spans="1:7">
      <c r="A1" s="27" t="s">
        <v>120</v>
      </c>
      <c r="B1" s="27" t="s">
        <v>121</v>
      </c>
      <c r="D1" s="27" t="s">
        <v>128</v>
      </c>
      <c r="E1" s="27" t="s">
        <v>15</v>
      </c>
      <c r="F1" s="27" t="s">
        <v>16</v>
      </c>
    </row>
    <row r="2" spans="1:7">
      <c r="A2" t="s">
        <v>122</v>
      </c>
      <c r="B2" s="21">
        <f>Data!E8-Data!D8</f>
        <v>1149.9000000000015</v>
      </c>
      <c r="D2" s="21" t="s">
        <v>129</v>
      </c>
      <c r="E2" s="29">
        <f>Analysis!H6</f>
        <v>4.0868639924853511E-2</v>
      </c>
      <c r="F2" s="29">
        <f>Analysis!I6</f>
        <v>-7.3347703459287206E-3</v>
      </c>
    </row>
    <row r="3" spans="1:7">
      <c r="A3" s="21" t="s">
        <v>123</v>
      </c>
      <c r="B3" s="21">
        <f>Data!E9-Data!D9</f>
        <v>67.759999999999991</v>
      </c>
      <c r="D3" s="21" t="s">
        <v>130</v>
      </c>
      <c r="E3" s="29">
        <f>Analysis!H7</f>
        <v>-1.0385254577309752E-2</v>
      </c>
      <c r="F3" s="29">
        <f>Analysis!I7</f>
        <v>-5.2945884362087109E-3</v>
      </c>
      <c r="G3" s="28"/>
    </row>
    <row r="4" spans="1:7" ht="29">
      <c r="A4" s="21" t="s">
        <v>124</v>
      </c>
      <c r="B4" s="21">
        <f>Data!D17-Data!E17</f>
        <v>-816.8799999999992</v>
      </c>
      <c r="D4" s="21" t="s">
        <v>131</v>
      </c>
      <c r="E4" s="29">
        <f>Analysis!H13</f>
        <v>-2.8526883746521001E-3</v>
      </c>
      <c r="F4" s="29">
        <f>Analysis!I13</f>
        <v>4.1142864663843426E-3</v>
      </c>
    </row>
    <row r="5" spans="1:7" ht="29">
      <c r="A5" s="21" t="s">
        <v>126</v>
      </c>
      <c r="B5" s="21">
        <f>Data!E18-Data!D18</f>
        <v>24.79</v>
      </c>
      <c r="D5" s="21" t="s">
        <v>31</v>
      </c>
      <c r="E5" s="29">
        <f>Analysis!H14</f>
        <v>-1.1112389876147266E-2</v>
      </c>
      <c r="F5" s="29">
        <f>Analysis!I14</f>
        <v>-9.5942559036438224E-4</v>
      </c>
    </row>
    <row r="6" spans="1:7">
      <c r="A6" s="21" t="s">
        <v>125</v>
      </c>
      <c r="B6" s="21">
        <f>Data!D20-Data!E20</f>
        <v>5.42999999999995</v>
      </c>
    </row>
    <row r="7" spans="1:7">
      <c r="A7" s="21" t="s">
        <v>127</v>
      </c>
      <c r="B7" s="21">
        <f>Data!E21-Data!D21</f>
        <v>431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Checks</vt:lpstr>
      <vt:lpstr>Analysis</vt:lpstr>
      <vt:lpstr>Dashboard</vt:lpstr>
      <vt:lpstr>Chart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alluri dedeepya</cp:lastModifiedBy>
  <cp:revision>0</cp:revision>
  <dcterms:created xsi:type="dcterms:W3CDTF">2026-10-12T07:00:59Z</dcterms:created>
  <dcterms:modified xsi:type="dcterms:W3CDTF">2026-10-17T09:36:02Z</dcterms:modified>
  <dc:language>en-US</dc:language>
</cp:coreProperties>
</file>